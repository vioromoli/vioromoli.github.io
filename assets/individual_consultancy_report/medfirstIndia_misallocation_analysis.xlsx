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violaromoli/Desktop/Da consegnare/assessment 2_individual report/individual_consultancy_report/"/>
    </mc:Choice>
  </mc:AlternateContent>
  <xr:revisionPtr revIDLastSave="0" documentId="13_ncr:1_{BF966CE7-0B44-A344-A1AE-E052054AE583}" xr6:coauthVersionLast="47" xr6:coauthVersionMax="47" xr10:uidLastSave="{00000000-0000-0000-0000-000000000000}"/>
  <bookViews>
    <workbookView xWindow="0" yWindow="500" windowWidth="28800" windowHeight="16280" tabRatio="500" firstSheet="7" activeTab="14" xr2:uid="{00000000-000D-0000-FFFF-FFFF00000000}"/>
  </bookViews>
  <sheets>
    <sheet name="Read Me First" sheetId="1" r:id="rId1"/>
    <sheet name="Channel Performance" sheetId="2" r:id="rId2"/>
    <sheet name="Source Data" sheetId="3" r:id="rId3"/>
    <sheet name="Top Assisted Conversion Paths" sheetId="4" r:id="rId4"/>
    <sheet name="Customer Demographics" sheetId="5" r:id="rId5"/>
    <sheet name="Regional Analysis" sheetId="6" r:id="rId6"/>
    <sheet name="City Performance" sheetId="7" r:id="rId7"/>
    <sheet name="Product Performance" sheetId="8" r:id="rId8"/>
    <sheet name="E-Commerce Behaviour Funnel" sheetId="9" r:id="rId9"/>
    <sheet name="Quarterly Spend &amp; Revenue" sheetId="10" r:id="rId10"/>
    <sheet name="KPI Reference Sheet" sheetId="11" r:id="rId11"/>
    <sheet name="ANALYSIS" sheetId="12" r:id="rId12"/>
    <sheet name="QUARTERLY CHART" sheetId="14" r:id="rId13"/>
    <sheet name="RECONCILIATION" sheetId="16" r:id="rId14"/>
    <sheet name="KPI DASHBOARD" sheetId="15" r:id="rId1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5" i="14" l="1"/>
  <c r="C3" i="14"/>
  <c r="C4" i="14"/>
  <c r="C5" i="14"/>
  <c r="C6" i="14"/>
  <c r="C7" i="14"/>
  <c r="C8" i="14"/>
  <c r="C9" i="14"/>
  <c r="C10" i="14"/>
  <c r="C11" i="14"/>
  <c r="C12" i="14"/>
  <c r="C13" i="14"/>
  <c r="C14" i="14"/>
  <c r="C2" i="14"/>
  <c r="B3" i="14"/>
  <c r="B4" i="14"/>
  <c r="B5" i="14"/>
  <c r="B6" i="14"/>
  <c r="B7" i="14"/>
  <c r="B8" i="14"/>
  <c r="B9" i="14"/>
  <c r="B10" i="14"/>
  <c r="B11" i="14"/>
  <c r="B12" i="14"/>
  <c r="B13" i="14"/>
  <c r="B14" i="14"/>
  <c r="B2" i="14"/>
  <c r="C25" i="12"/>
  <c r="C24" i="12"/>
  <c r="B25" i="12"/>
  <c r="D25" i="12" s="1"/>
  <c r="B24" i="12"/>
  <c r="D24" i="12" s="1"/>
  <c r="C20" i="12"/>
  <c r="C19" i="12"/>
  <c r="B20" i="12"/>
  <c r="B19" i="12"/>
  <c r="D63" i="8"/>
  <c r="E3" i="12"/>
  <c r="E4" i="12"/>
  <c r="E5" i="12"/>
  <c r="K5" i="12" s="1"/>
  <c r="E6" i="12"/>
  <c r="E7" i="12"/>
  <c r="K7" i="12" s="1"/>
  <c r="E8" i="12"/>
  <c r="E2" i="12"/>
  <c r="D3" i="12"/>
  <c r="D4" i="12"/>
  <c r="D5" i="12"/>
  <c r="D6" i="12"/>
  <c r="D7" i="12"/>
  <c r="D8" i="12"/>
  <c r="D2" i="12"/>
  <c r="C3" i="12"/>
  <c r="C4" i="12"/>
  <c r="C5" i="12"/>
  <c r="C6" i="12"/>
  <c r="C7" i="12"/>
  <c r="C8" i="12"/>
  <c r="F4" i="12" s="1"/>
  <c r="C2" i="12"/>
  <c r="K2" i="12" s="1"/>
  <c r="B3" i="12"/>
  <c r="B4" i="12"/>
  <c r="H4" i="12" s="1"/>
  <c r="B5" i="12"/>
  <c r="B6" i="12"/>
  <c r="B7" i="12"/>
  <c r="B8" i="12"/>
  <c r="B2" i="12"/>
  <c r="C21" i="15"/>
  <c r="F21" i="15" s="1"/>
  <c r="C20" i="15"/>
  <c r="F20" i="15" s="1"/>
  <c r="C19" i="15"/>
  <c r="F19" i="15" s="1"/>
  <c r="I63" i="8"/>
  <c r="F63" i="8"/>
  <c r="E63" i="8"/>
  <c r="C8" i="16"/>
  <c r="C7" i="16"/>
  <c r="C6" i="16"/>
  <c r="C5" i="16"/>
  <c r="C4" i="16"/>
  <c r="C3" i="16"/>
  <c r="C2" i="16"/>
  <c r="D4" i="16"/>
  <c r="D2" i="16"/>
  <c r="B9" i="16"/>
  <c r="B7" i="16"/>
  <c r="B5" i="16"/>
  <c r="B4" i="16"/>
  <c r="B3" i="16"/>
  <c r="B2" i="16"/>
  <c r="F12" i="15"/>
  <c r="F17" i="15"/>
  <c r="F22" i="15"/>
  <c r="F23" i="15"/>
  <c r="C14" i="15"/>
  <c r="F14" i="15" s="1"/>
  <c r="H3" i="12"/>
  <c r="H7" i="12"/>
  <c r="B15" i="14"/>
  <c r="C21" i="12"/>
  <c r="B12" i="12"/>
  <c r="I3" i="12"/>
  <c r="J3" i="12"/>
  <c r="K3" i="12"/>
  <c r="L3" i="12"/>
  <c r="I4" i="12"/>
  <c r="J4" i="12"/>
  <c r="K4" i="12"/>
  <c r="I5" i="12"/>
  <c r="J5" i="12"/>
  <c r="I6" i="12"/>
  <c r="I7" i="12"/>
  <c r="H15" i="10"/>
  <c r="G15" i="10"/>
  <c r="F15" i="10"/>
  <c r="E15" i="10"/>
  <c r="D15" i="10"/>
  <c r="C15" i="10"/>
  <c r="B15" i="10"/>
  <c r="H4" i="9"/>
  <c r="G4" i="9"/>
  <c r="F4" i="9"/>
  <c r="E4" i="9"/>
  <c r="D4" i="9"/>
  <c r="C4" i="9"/>
  <c r="B4" i="9"/>
  <c r="I42" i="7"/>
  <c r="H42" i="7"/>
  <c r="D42" i="7"/>
  <c r="C42" i="7"/>
  <c r="I11" i="6"/>
  <c r="H11" i="6"/>
  <c r="D11" i="6"/>
  <c r="C11" i="6"/>
  <c r="B11" i="6"/>
  <c r="I8" i="5"/>
  <c r="H8" i="5"/>
  <c r="D8" i="5"/>
  <c r="C8" i="5"/>
  <c r="B8" i="5"/>
  <c r="C17" i="4"/>
  <c r="B17" i="4"/>
  <c r="J22" i="3"/>
  <c r="I22" i="3"/>
  <c r="D22" i="3"/>
  <c r="C22" i="3"/>
  <c r="B22" i="3"/>
  <c r="J8" i="2"/>
  <c r="I8" i="2"/>
  <c r="H8" i="2"/>
  <c r="C8" i="2"/>
  <c r="B8" i="2"/>
  <c r="B21" i="12" l="1"/>
  <c r="L7" i="12"/>
  <c r="L6" i="12"/>
  <c r="B13" i="12"/>
  <c r="C4" i="15" s="1"/>
  <c r="F4" i="15" s="1"/>
  <c r="B30" i="12"/>
  <c r="G7" i="12"/>
  <c r="B31" i="12"/>
  <c r="G4" i="12"/>
  <c r="C9" i="15" s="1"/>
  <c r="F9" i="15" s="1"/>
  <c r="B32" i="12"/>
  <c r="G5" i="12"/>
  <c r="G3" i="12"/>
  <c r="G6" i="12"/>
  <c r="I2" i="12"/>
  <c r="G2" i="12"/>
  <c r="J6" i="12"/>
  <c r="J7" i="12"/>
  <c r="H5" i="12"/>
  <c r="F2" i="12"/>
  <c r="C5" i="15"/>
  <c r="F5" i="15" s="1"/>
  <c r="K6" i="12"/>
  <c r="J2" i="12"/>
  <c r="L5" i="12"/>
  <c r="C11" i="15" s="1"/>
  <c r="F11" i="15" s="1"/>
  <c r="H6" i="12"/>
  <c r="L4" i="12"/>
  <c r="L2" i="12"/>
  <c r="H2" i="12"/>
  <c r="D26" i="12"/>
  <c r="C15" i="15" s="1"/>
  <c r="F15" i="15" s="1"/>
  <c r="H8" i="12"/>
  <c r="C16" i="15" s="1"/>
  <c r="F16" i="15" s="1"/>
  <c r="F5" i="12"/>
  <c r="I8" i="12"/>
  <c r="F6" i="12"/>
  <c r="J8" i="12"/>
  <c r="F7" i="12"/>
  <c r="B11" i="12"/>
  <c r="F3" i="12"/>
  <c r="E32" i="12" l="1"/>
  <c r="C32" i="12"/>
  <c r="D32" i="12" s="1"/>
  <c r="C31" i="12"/>
  <c r="D31" i="12" s="1"/>
  <c r="E31" i="12"/>
  <c r="G8" i="12"/>
  <c r="C10" i="15"/>
  <c r="F10" i="15" s="1"/>
  <c r="E30" i="12"/>
  <c r="C30" i="12"/>
  <c r="D30" i="12" s="1"/>
  <c r="C6" i="15"/>
  <c r="F6" i="15" s="1"/>
  <c r="F8" i="12"/>
  <c r="B14" i="12"/>
  <c r="C3" i="15" s="1"/>
  <c r="F3" i="15" s="1"/>
  <c r="B15" i="12"/>
  <c r="B16" i="12" l="1"/>
  <c r="C7" i="15"/>
  <c r="F7" i="15" s="1"/>
</calcChain>
</file>

<file path=xl/sharedStrings.xml><?xml version="1.0" encoding="utf-8"?>
<sst xmlns="http://schemas.openxmlformats.org/spreadsheetml/2006/main" count="598" uniqueCount="386">
  <si>
    <t>MedfirstIndia (MFI) — Simulated Digital Marketing Analytics Dataset</t>
  </si>
  <si>
    <t>Prepared for BUSB7052: The Marketing Challenge — Assessment 2 (Individual Consultancy Report)</t>
  </si>
  <si>
    <t>WHAT THIS FILE IS</t>
  </si>
  <si>
    <t>WHY IT LOOKS THE WAY IT DOES</t>
  </si>
  <si>
    <t>The structure (sheet names, column headers) mirrors a typical e-commerce Google Analytics export, so the dataset is usable in the same way the case describes MFI's own dashboard being used. The figures themselves have been built to be internally consistent and to reflect the qualitative narrative in the case — for example: Paid Search and Facebook (Social) absorbing the large majority of the advertising budget while converting poorly; Organic Search, Direct and Referral traffic converting disproportionately well despite little or no paid spend; revenue concentrated in a handful of Tier 1 cities; a core buyer base of doctors aged roughly 35-54; and visible data-quality problems (duplicated categories, unlabelled rows, figures that do not perfectly reconcile between tabs) consistent with the case's account of broken Google Analytics tracking.</t>
  </si>
  <si>
    <t>HOW TO USE IT</t>
  </si>
  <si>
    <t>Treat this as you would treat a real but imperfect analytics export handed to you by a client. You are not expected to use every sheet - the assessment brief asks you to select what is relevant to your chosen consultancy pathway (e.g., channel performance, segmentation, conversion optimisation, analytics governance). Where you notice inconsistencies or gaps, that is a deliberate and legitimate feature of the dataset, not an error to be corrected - the assessment brief explicitly invites you to flag data quality issues as part of your analysis.</t>
  </si>
  <si>
    <t>REPORTING PERIOD</t>
  </si>
  <si>
    <t>1 September 2015 to 31 August 2018 - the approximate three years of MFI's digital marketing operation referenced by Karpuram in the case ("three years of running MFI's marketing operations"). All monetary values are in Indian Rupees (Rs).</t>
  </si>
  <si>
    <t>CONTENTS</t>
  </si>
  <si>
    <t>1. Channel Performance - traffic and revenue by marketing channel, with 3-year ad spend by channel</t>
  </si>
  <si>
    <t>2. Source Data - a lower-level breakdown of individual traffic sources within each channel</t>
  </si>
  <si>
    <t>3. Top Assisted Conversion Paths - multi-channel conversion path data</t>
  </si>
  <si>
    <t>4. Customer Demographics - site users and revenue by age band</t>
  </si>
  <si>
    <t>5. Regional Analysis - site users and revenue by Indian region (includes tracking-quality issues)</t>
  </si>
  <si>
    <t>6. City Performance - site users and revenue for the top 40 cities</t>
  </si>
  <si>
    <t>7. Product Performance - revenue, units and pricing for MFI's top 60 products</t>
  </si>
  <si>
    <t>8. E-Commerce Behaviour Funnel - session flow from landing to purchase, new vs returning visitors</t>
  </si>
  <si>
    <t>9. Quarterly Marketing Spend and Revenue - 12 quarters of spend-by-channel and resulting revenue</t>
  </si>
  <si>
    <t>10. KPI Reference Sheet - generic marketing KPI definitions you may draw on for your measurement framework</t>
  </si>
  <si>
    <t>Default Channel Grouping</t>
  </si>
  <si>
    <t>New Users</t>
  </si>
  <si>
    <t>Sessions</t>
  </si>
  <si>
    <t>Bounce Rate</t>
  </si>
  <si>
    <t>Pages per Session</t>
  </si>
  <si>
    <t>Average Session Duration (sec)</t>
  </si>
  <si>
    <t>E-Commerce Conversion Rate</t>
  </si>
  <si>
    <t>Transactions</t>
  </si>
  <si>
    <t>Revenue (Rs)</t>
  </si>
  <si>
    <t>3-Year Ad Spend (Rs)</t>
  </si>
  <si>
    <t>Organic search</t>
  </si>
  <si>
    <t>Direct</t>
  </si>
  <si>
    <t>Referral</t>
  </si>
  <si>
    <t>Paid search</t>
  </si>
  <si>
    <t>Social</t>
  </si>
  <si>
    <t>Email</t>
  </si>
  <si>
    <t>Total</t>
  </si>
  <si>
    <t>Note: 'Ad Spend' is media/working spend only. It excludes the agency's fixed monthly retainer of Rs 100,000 (Rs 3,600,000 over 3 years), which covered SEO, organic content and overall account management and is not attributed to a single channel here - consistent with how the case describes the agency's fee structure.</t>
  </si>
  <si>
    <t>Source</t>
  </si>
  <si>
    <t>Users</t>
  </si>
  <si>
    <t>Pages / Session</t>
  </si>
  <si>
    <t>Avg. Session Duration (sec)</t>
  </si>
  <si>
    <t>google (organic)</t>
  </si>
  <si>
    <t>(direct)</t>
  </si>
  <si>
    <t>bing (organic)</t>
  </si>
  <si>
    <t>google / cpc</t>
  </si>
  <si>
    <t>google / display</t>
  </si>
  <si>
    <t>m.facebook.com / cpc</t>
  </si>
  <si>
    <t>facebook / cpc</t>
  </si>
  <si>
    <t>instagram / cpc</t>
  </si>
  <si>
    <t>youtube.com</t>
  </si>
  <si>
    <t>practomed.in</t>
  </si>
  <si>
    <t>medibuyerindia.com</t>
  </si>
  <si>
    <t>hospitalsourcing.co.in</t>
  </si>
  <si>
    <t>indiahealthforum.org</t>
  </si>
  <si>
    <t>linkedin.com</t>
  </si>
  <si>
    <t>clinicianconnect.in</t>
  </si>
  <si>
    <t>m.google.com (organic)</t>
  </si>
  <si>
    <t>mail.medfirstindia.com / email</t>
  </si>
  <si>
    <t>yahoo (organic)</t>
  </si>
  <si>
    <t>duckduckgo (organic)</t>
  </si>
  <si>
    <t>referral / (not set)</t>
  </si>
  <si>
    <t>Total (approx.)</t>
  </si>
  <si>
    <t>Note: Source-level totals will not tie back exactly to the Channel Performance tab. This reflects the case's account of incomplete GA-to-website integration (some product pages and campaigns were not properly linked to revenue tracking). Treat the mismatch as a data-quality finding, not an error to reconcile.</t>
  </si>
  <si>
    <t>Channel Grouping Path</t>
  </si>
  <si>
    <t>Conversions</t>
  </si>
  <si>
    <t>Conversion Value (Rs)</t>
  </si>
  <si>
    <t>Organic search &gt; Direct</t>
  </si>
  <si>
    <t>Organic search &gt; Referral</t>
  </si>
  <si>
    <t>Direct &gt; Direct</t>
  </si>
  <si>
    <t>Organic search &gt; Direct &gt; Direct</t>
  </si>
  <si>
    <t>Referral &gt; Direct</t>
  </si>
  <si>
    <t>Paid search &gt; Direct</t>
  </si>
  <si>
    <t>Organic search &gt; Paid search &gt; Direct</t>
  </si>
  <si>
    <t>Social &gt; Direct</t>
  </si>
  <si>
    <t>Direct &gt; Organic search</t>
  </si>
  <si>
    <t>Organic search &gt; Social &gt; Direct</t>
  </si>
  <si>
    <t>Referral &gt; Referral</t>
  </si>
  <si>
    <t>Paid search &gt; Paid search &gt; Direct</t>
  </si>
  <si>
    <t>Email &gt; Direct</t>
  </si>
  <si>
    <t>Social &gt; Social &gt; Direct</t>
  </si>
  <si>
    <t>Paid search &gt; Organic search &gt; Direct</t>
  </si>
  <si>
    <t>Age</t>
  </si>
  <si>
    <t>18-24</t>
  </si>
  <si>
    <t>25-34</t>
  </si>
  <si>
    <t>35-44</t>
  </si>
  <si>
    <t>45-54</t>
  </si>
  <si>
    <t>55-64</t>
  </si>
  <si>
    <t>65+</t>
  </si>
  <si>
    <t>Note: Because MFI is a B2B platform ordered through a shared clinic or hospital login, 'Age' reflects the self-reported age of the individual placing the order (typically the doctor or practice owner) rather than a patient or end consumer, consistent with the case's description of MFI's core buyers as doctor-owners of independent practices and polyclinics.</t>
  </si>
  <si>
    <t>Region</t>
  </si>
  <si>
    <t>North</t>
  </si>
  <si>
    <t>South</t>
  </si>
  <si>
    <t>West</t>
  </si>
  <si>
    <t>East</t>
  </si>
  <si>
    <t>Central</t>
  </si>
  <si>
    <t>Northeast</t>
  </si>
  <si>
    <t>(not set)</t>
  </si>
  <si>
    <t>Note: 'East' and '(not set)' each appear as two separate rows rather than one. This is not a typo to be corrected before analysis - it mirrors the case's account of a Google Analytics set-up with integration mistakes, and is itself relevant evidence for a pathway focused on analytics governance and data quality.</t>
  </si>
  <si>
    <t>Country</t>
  </si>
  <si>
    <t>City</t>
  </si>
  <si>
    <t>India</t>
  </si>
  <si>
    <t>New Delhi</t>
  </si>
  <si>
    <t>Bengaluru</t>
  </si>
  <si>
    <t>Mumbai</t>
  </si>
  <si>
    <t>Hyderabad</t>
  </si>
  <si>
    <t>Chennai</t>
  </si>
  <si>
    <t>Pune</t>
  </si>
  <si>
    <t>Kolkata</t>
  </si>
  <si>
    <t>Ahmedabad</t>
  </si>
  <si>
    <t>Jaipur</t>
  </si>
  <si>
    <t>Lucknow</t>
  </si>
  <si>
    <t>Chandigarh</t>
  </si>
  <si>
    <t>Nagpur</t>
  </si>
  <si>
    <t>Indore</t>
  </si>
  <si>
    <t>Bhopal</t>
  </si>
  <si>
    <t>Coimbatore</t>
  </si>
  <si>
    <t>Kochi</t>
  </si>
  <si>
    <t>Visakhapatnam</t>
  </si>
  <si>
    <t>Surat</t>
  </si>
  <si>
    <t>Vadodara</t>
  </si>
  <si>
    <t>Patna</t>
  </si>
  <si>
    <t>Kanpur</t>
  </si>
  <si>
    <t>Ludhiana</t>
  </si>
  <si>
    <t>Nashik</t>
  </si>
  <si>
    <t>Thiruvananthapuram</t>
  </si>
  <si>
    <t>Guwahati</t>
  </si>
  <si>
    <t>Bhubaneswar</t>
  </si>
  <si>
    <t>Raipur</t>
  </si>
  <si>
    <t>Ranchi</t>
  </si>
  <si>
    <t>Mysuru</t>
  </si>
  <si>
    <t>Vijayawada</t>
  </si>
  <si>
    <t>Madurai</t>
  </si>
  <si>
    <t>Jodhpur</t>
  </si>
  <si>
    <t>Amritsar</t>
  </si>
  <si>
    <t>Varanasi</t>
  </si>
  <si>
    <t>Agra</t>
  </si>
  <si>
    <t>Meerut</t>
  </si>
  <si>
    <t>Rajkot</t>
  </si>
  <si>
    <t>Dehradun</t>
  </si>
  <si>
    <t>Shimla</t>
  </si>
  <si>
    <t>Siliguri</t>
  </si>
  <si>
    <t>Note: The top 8 (Tier 1) cities account for the large majority of sessions and revenue, consistent with the case's observation that 'the bulk of the business came from four or five Tier 1 cities' rather than the smaller towns the founders originally expected to be under-served and therefore most receptive.</t>
  </si>
  <si>
    <t>Rank</t>
  </si>
  <si>
    <t>Product</t>
  </si>
  <si>
    <t>Category</t>
  </si>
  <si>
    <t>Product Revenue (Rs)</t>
  </si>
  <si>
    <t>Unique Purchases</t>
  </si>
  <si>
    <t>Quantity</t>
  </si>
  <si>
    <t>Average Price (Rs)</t>
  </si>
  <si>
    <t>Average Quantity per Purchase</t>
  </si>
  <si>
    <t>Product Refund Amount (Rs)</t>
  </si>
  <si>
    <t>Cart-to-Detail Rate</t>
  </si>
  <si>
    <t>Buy-to-Detail Rate</t>
  </si>
  <si>
    <t>Infusion Pump - VitalTrack Volumetric</t>
  </si>
  <si>
    <t>Medical Equipment</t>
  </si>
  <si>
    <t>CPAP Machine - RespCare Standard</t>
  </si>
  <si>
    <t>Respiratory Care</t>
  </si>
  <si>
    <t>Digital ECG Machine - VitalTrack 3-Channel</t>
  </si>
  <si>
    <t>Patient Monitor - VitalTrack Multi-Parameter</t>
  </si>
  <si>
    <t>Wheelchair - MobilAid Standard Folding</t>
  </si>
  <si>
    <t>Patient Care</t>
  </si>
  <si>
    <t>Oxygen Concentrator 5L - ClearAir Pro</t>
  </si>
  <si>
    <t>Autoclave Sterilizer 18L - CleanMed Standard</t>
  </si>
  <si>
    <t>Stethoscope - CardioSound Classic II</t>
  </si>
  <si>
    <t>Stethoscopes</t>
  </si>
  <si>
    <t>Suture Kit - PrecisionMed Absorbable (Box of 12)</t>
  </si>
  <si>
    <t>Surgical Instruments</t>
  </si>
  <si>
    <t>Stethoscope - CardioSound Cardiology III</t>
  </si>
  <si>
    <t>Digital BP Monitor - VitalCheck Arm Cuff</t>
  </si>
  <si>
    <t>Diagnostic</t>
  </si>
  <si>
    <t>Wheelchair - MobilAid Reclining Deluxe</t>
  </si>
  <si>
    <t>Hospital Bed - CareRest Manual 2-Function</t>
  </si>
  <si>
    <t>Hospital Furniture</t>
  </si>
  <si>
    <t>Pocket Ophthalmoscope - ClearView Mini</t>
  </si>
  <si>
    <t>BiPAP Machine - RespCare Elite</t>
  </si>
  <si>
    <t>Doppler Foetal Monitor - VitalTrack Handheld</t>
  </si>
  <si>
    <t>Ultrasonic Nebulizer - BreatheEase Portable</t>
  </si>
  <si>
    <t>Digital Thermometer - QuickTemp Infrared</t>
  </si>
  <si>
    <t>Wheelchair - MobilAid Lightweight Travel</t>
  </si>
  <si>
    <t>N95 Respirator Masks (Box of 20) - PureCare</t>
  </si>
  <si>
    <t>Examination Light - CareRest LED Mobile</t>
  </si>
  <si>
    <t>Patient Examination Table - CareRest Basic</t>
  </si>
  <si>
    <t>Nebulizer Compressor - BreatheEase Compact</t>
  </si>
  <si>
    <t>Disposable Gloves (Box of 100) - PureCare Nitrile</t>
  </si>
  <si>
    <t>Pulse Oximeter - VitalCheck Fingertip</t>
  </si>
  <si>
    <t>Wheelchair Cushion - MobilAid Gel Support</t>
  </si>
  <si>
    <t>Glucometer Kit - SugarCheck Standard</t>
  </si>
  <si>
    <t>Surgical Drape Set - PrecisionMed Sterile</t>
  </si>
  <si>
    <t>Otoscope Set - ClearView Diagnostic Kit</t>
  </si>
  <si>
    <t>Stethoscope - CardioSound Paediatric</t>
  </si>
  <si>
    <t>Sphygmomanometer - Aneroid Deluxe</t>
  </si>
  <si>
    <t>Bedside Cabinet - CareRest Standard</t>
  </si>
  <si>
    <t>Overbed Table - CareRest Adjustable</t>
  </si>
  <si>
    <t>Surgical Scissors Set - PrecisionMed Stainless</t>
  </si>
  <si>
    <t>Scalpel Handle &amp; Blades - PrecisionMed Kit</t>
  </si>
  <si>
    <t>Surgical Forceps Set - PrecisionMed Tissue</t>
  </si>
  <si>
    <t>Crutches (Pair) - MobilAid Underarm</t>
  </si>
  <si>
    <t>Test Strips - SugarCheck Glucose (Box of 50)</t>
  </si>
  <si>
    <t>Portable Suction Unit - VitalTrack Manual</t>
  </si>
  <si>
    <t>Minor Surgery Instrument Tray - PrecisionMed Basic</t>
  </si>
  <si>
    <t>General Surgery Instruments</t>
  </si>
  <si>
    <t>Baby Weighing Scale - VitalCheck Digital</t>
  </si>
  <si>
    <t>Weighing Scale - VitalCheck Digital Clinical</t>
  </si>
  <si>
    <t>Disposable Face Masks (Box of 50) - PureCare</t>
  </si>
  <si>
    <t>IV Stand - CareRest Mobile 4-Hook</t>
  </si>
  <si>
    <t>Dressing Set - PrecisionMed Wound Care</t>
  </si>
  <si>
    <t>Surgical Cotton Roll 500g - PureCare</t>
  </si>
  <si>
    <t>Dressing Trolley - CareRest Two-Tier</t>
  </si>
  <si>
    <t>Walking Stick - MobilAid Adjustable Aluminium</t>
  </si>
  <si>
    <t>Height Measuring Rod - VitalCheck Stadiometer</t>
  </si>
  <si>
    <t>Cervical Collar - CareRest Foam Support</t>
  </si>
  <si>
    <t>Blood Lancets (Box of 100) - SugarCheck</t>
  </si>
  <si>
    <t>Suction Catheter 10FG - FlexCare Disposable</t>
  </si>
  <si>
    <t>Urobag 2000ml - FlexCare Standard</t>
  </si>
  <si>
    <t>Disposable Cotton Balls (Pack of 200) - PureCare</t>
  </si>
  <si>
    <t>Alcohol Swabs (Pack of 100) - PureCare</t>
  </si>
  <si>
    <t>Suture Removal Kit - PrecisionMed Sterile</t>
  </si>
  <si>
    <t>Surgical Gown - PureCare Disposable Sterile</t>
  </si>
  <si>
    <t>Foley Catheter 16FG - FlexCare 2-Way</t>
  </si>
  <si>
    <t>Nelaton Catheter 12FG - FlexCare Disposable</t>
  </si>
  <si>
    <t>Male External Catheter - FlexCare 30mm</t>
  </si>
  <si>
    <t>Ryles Tube 14FG - FlexCare Disposable</t>
  </si>
  <si>
    <t>Note: High-value equipment (oxygen concentrators, BiPAP/CPAP machines, patient monitors) generates strong revenue per unit but low volume, while disposables (catheters, cotton, gloves, masks) drive high volume at low value per unit - a mix consistent with the case's description of MFI's product range, from 'stethoscopes to thermometers to sutures ... CPAP and BiPAP machines' down to 'the most basic disposables, like cotton balls.'</t>
  </si>
  <si>
    <t>User Type</t>
  </si>
  <si>
    <t>All Sessions</t>
  </si>
  <si>
    <t>Product View</t>
  </si>
  <si>
    <t>Add to Cart</t>
  </si>
  <si>
    <t>Cart Abandonment</t>
  </si>
  <si>
    <t>Checkout</t>
  </si>
  <si>
    <t>Checkout Abandonment</t>
  </si>
  <si>
    <t>Successful Transaction</t>
  </si>
  <si>
    <t>New visitor</t>
  </si>
  <si>
    <t>Returning visitor</t>
  </si>
  <si>
    <t>Note: Each column is a count of sessions reaching that stage, not a strict subset of the previous column (a limitation flagged in the case: MFI's team never analysed how far customers moved through the funnel or where they dropped off). Returning visitors convert at a markedly higher rate than new visitors despite far fewer sessions - relevant evidence for a retention- or loyalty-focused pathway.</t>
  </si>
  <si>
    <t>Quarter</t>
  </si>
  <si>
    <t>Paid Search Spend (Rs)</t>
  </si>
  <si>
    <t>Social (Facebook) Spend (Rs)</t>
  </si>
  <si>
    <t>Email Spend (Rs)</t>
  </si>
  <si>
    <t>Agency Retainer (Rs)</t>
  </si>
  <si>
    <t>Total Spend (Rs)</t>
  </si>
  <si>
    <t>Total Revenue (Rs)</t>
  </si>
  <si>
    <t>Total Transactions</t>
  </si>
  <si>
    <t>2015 Q3 (Sep only)</t>
  </si>
  <si>
    <t>2015 Q4</t>
  </si>
  <si>
    <t>2016 Q1</t>
  </si>
  <si>
    <t>2016 Q2</t>
  </si>
  <si>
    <t>2016 Q3</t>
  </si>
  <si>
    <t>2016 Q4</t>
  </si>
  <si>
    <t>2017 Q1</t>
  </si>
  <si>
    <t>2017 Q2</t>
  </si>
  <si>
    <t>2017 Q3</t>
  </si>
  <si>
    <t>2017 Q4</t>
  </si>
  <si>
    <t>2018 Q1</t>
  </si>
  <si>
    <t>2018 Q2</t>
  </si>
  <si>
    <t>2018 Q3 (Jul-Aug)</t>
  </si>
  <si>
    <t>Note: Spend figures are modelled directly on the case's account of a fixed Rs 200,000/month ad budget plus a Rs 100,000/month agency retainer, with Paid Search and Facebook together consuming roughly 75% of ad spend. Revenue rises through 2016-2017 then plateaus and falls into 2018, consistent with the company closing in August 2018.</t>
  </si>
  <si>
    <t>KPI</t>
  </si>
  <si>
    <t>How It Is Calculated</t>
  </si>
  <si>
    <t>What It Tells You</t>
  </si>
  <si>
    <t>Customer Acquisition Cost (CAC)</t>
  </si>
  <si>
    <t>Marketing spend / number of new customers acquired</t>
  </si>
  <si>
    <t>The cost of winning one new paying customer through a given channel</t>
  </si>
  <si>
    <t>Return on Ad Spend (ROAS)</t>
  </si>
  <si>
    <t>Revenue attributable to a channel / spend on that channel</t>
  </si>
  <si>
    <t>Whether paid media is generating more revenue than it costs</t>
  </si>
  <si>
    <t>Transactions / sessions</t>
  </si>
  <si>
    <t>How effectively site traffic is converted into completed orders</t>
  </si>
  <si>
    <t>Average Order Value (AOV)</t>
  </si>
  <si>
    <t>Revenue / number of transactions</t>
  </si>
  <si>
    <t>The typical size of a single order, useful for spotting basket-building or upsell opportunities</t>
  </si>
  <si>
    <t>Single-page sessions / total sessions</t>
  </si>
  <si>
    <t>How often visitors leave without engaging further - a proxy for landing-page or targeting relevance</t>
  </si>
  <si>
    <t>Cart Abandonment Rate</t>
  </si>
  <si>
    <t>1 - (checkouts started / carts created)</t>
  </si>
  <si>
    <t>How much demand is lost between adding a product to cart and beginning checkout</t>
  </si>
  <si>
    <t>Customer Lifetime Value (CLV)</t>
  </si>
  <si>
    <t>Average order value x purchase frequency x average customer lifespan</t>
  </si>
  <si>
    <t>The long-run value of retaining a customer, useful for justifying retention investment</t>
  </si>
  <si>
    <t>Channel Contribution to Revenue</t>
  </si>
  <si>
    <t>Channel revenue / total revenue</t>
  </si>
  <si>
    <t>Which channels are actually driving the business, as distinct from which absorb the most budget</t>
  </si>
  <si>
    <t>Assisted Conversion Ratio</t>
  </si>
  <si>
    <t>Assisted conversions / last-click conversions for a channel</t>
  </si>
  <si>
    <t>Whether a channel plays a supporting role earlier in the customer journey rather than closing the sale</t>
  </si>
  <si>
    <t xml:space="preserve">This workbook is a fully simulated dataset. </t>
  </si>
  <si>
    <t xml:space="preserve">Channel </t>
  </si>
  <si>
    <t xml:space="preserve">Sessions </t>
  </si>
  <si>
    <t>Spend Share</t>
  </si>
  <si>
    <t>Revenue Share</t>
  </si>
  <si>
    <t>Conversion Rate</t>
  </si>
  <si>
    <t>AOV</t>
  </si>
  <si>
    <t>CAC</t>
  </si>
  <si>
    <t>ROAS</t>
  </si>
  <si>
    <t>Rev/Visit</t>
  </si>
  <si>
    <t>Gross margin (assumption)</t>
  </si>
  <si>
    <t>Gross profit</t>
  </si>
  <si>
    <t>Total marketing incl. retainer</t>
  </si>
  <si>
    <t xml:space="preserve">Transactions </t>
  </si>
  <si>
    <t xml:space="preserve">3-year Ad Spend (Rs) </t>
  </si>
  <si>
    <t>Combined</t>
  </si>
  <si>
    <t xml:space="preserve">All Sessions </t>
  </si>
  <si>
    <t xml:space="preserve">Successful transactions </t>
  </si>
  <si>
    <t>Conv</t>
  </si>
  <si>
    <t>Multiple</t>
  </si>
  <si>
    <t>Net contribution</t>
  </si>
  <si>
    <t xml:space="preserve">Affordable monthly media budget </t>
  </si>
  <si>
    <t xml:space="preserve">Overcommitment multiple </t>
  </si>
  <si>
    <t xml:space="preserve">How  it is calculated </t>
  </si>
  <si>
    <t xml:space="preserve">Current </t>
  </si>
  <si>
    <t>Target</t>
  </si>
  <si>
    <t xml:space="preserve">Better </t>
  </si>
  <si>
    <t xml:space="preserve">Status </t>
  </si>
  <si>
    <t xml:space="preserve">Review </t>
  </si>
  <si>
    <t>Tier 1 - OUTCOME (monthly, founder level)</t>
  </si>
  <si>
    <t>Marketing net contribution (Rs)</t>
  </si>
  <si>
    <t xml:space="preserve">Monthly </t>
  </si>
  <si>
    <t>Revenue per Rs 1 of marketing spend</t>
  </si>
  <si>
    <t>Blended ROAS, paid channels</t>
  </si>
  <si>
    <t>CAC-to-AOV ratio</t>
  </si>
  <si>
    <t>Media spend vs affordable budget</t>
  </si>
  <si>
    <t>Tier 2 - CHANNEL (monthly, trigger allocation)</t>
  </si>
  <si>
    <t>Referral share of revenue</t>
  </si>
  <si>
    <t>Misallocation index, paid search</t>
  </si>
  <si>
    <t>Revenue per session, paid search (Rs)</t>
  </si>
  <si>
    <t>Revenue per partner per month (Rs)</t>
  </si>
  <si>
    <t>High</t>
  </si>
  <si>
    <t>n/a — new programme</t>
  </si>
  <si>
    <t>Tier 3 - LEADING INDICATORS (weekly)</t>
  </si>
  <si>
    <t>Returning-visitor share of orders</t>
  </si>
  <si>
    <t>Returning conversion multiple</t>
  </si>
  <si>
    <t>Site conversion rate</t>
  </si>
  <si>
    <t>Engaged email list size</t>
  </si>
  <si>
    <t>Weekly</t>
  </si>
  <si>
    <t>n/a — not tracked</t>
  </si>
  <si>
    <t>Tier 4 - DATA QUALITY (monthly)</t>
  </si>
  <si>
    <t>Revenue variance between reports</t>
  </si>
  <si>
    <t>Sessions with no identified source</t>
  </si>
  <si>
    <t>Product pages with working tracking</t>
  </si>
  <si>
    <t>Days from month-end to reporting</t>
  </si>
  <si>
    <t>Low</t>
  </si>
  <si>
    <t>n/a — not measured</t>
  </si>
  <si>
    <t>Gross profit (revenue × margin) less all marketing cost, including the agency retainer</t>
  </si>
  <si>
    <t>Total revenue ÷ total marketing investment; below 1.00 means marketing costs more than it earns</t>
  </si>
  <si>
    <t>Paid-channel revenue ÷ paid media spend; must exceed 1 ÷ gross margin simply to break even</t>
  </si>
  <si>
    <t>Customer acquisition cost ÷ average order value; above 1.00 means a first order never repays the cost of winning it</t>
  </si>
  <si>
    <t>Committed monthly media budget ÷ monthly gross profit; above 1.00 means spending faster than the business generates</t>
  </si>
  <si>
    <t>Referral revenue ÷ total revenue; tracks whether the partnership programme is displacing paid acquisition</t>
  </si>
  <si>
    <t>Share of revenue ÷ share of media spend; below 1.00 means the channel is over-funded relative to what it returns</t>
  </si>
  <si>
    <t>Paid search revenue ÷ paid search sessions; measures the quality of bought traffic rather than its volume</t>
  </si>
  <si>
    <t>Revenue attributable to each referral partner; the basis for scaling or dropping individual pilots</t>
  </si>
  <si>
    <t>Orders from returning visitors ÷ all orders; the primary test of whether retention activity is working</t>
  </si>
  <si>
    <t>Returning-visitor conversion rate ÷ new-visitor conversion rate; confirms the retention opportunity persists as the base grows</t>
  </si>
  <si>
    <t>Transactions ÷ sessions across all channels; the headline measure of site effectiveness</t>
  </si>
  <si>
    <t>First-party contacts who opened or clicked within 90 days; the asset all email revenue depends on</t>
  </si>
  <si>
    <t>Gap between channel-level and quarterly revenue ÷ channel-level revenue; measures whether reporting can be relied on at all</t>
  </si>
  <si>
    <t>Sessions with no named source ÷ all sessions; untracked traffic can be neither funded nor cut</t>
  </si>
  <si>
    <t>Product pages correctly linked to revenue tracking ÷ all product pages; the case states many were never connected</t>
  </si>
  <si>
    <t>Working days from month-end until the report is available; slow reporting makes timely reallocation impossible</t>
  </si>
  <si>
    <t>Weekly channel review · Monthly reallocation decision with authority to move budget · Quarterly zero-based rebuild. Any Tier 2 metric below 0.50 is automatically tabled for reduction.</t>
  </si>
  <si>
    <t>25%</t>
  </si>
  <si>
    <t>Revenue with no identified source</t>
  </si>
  <si>
    <t>Revenue not attributable to any named source ÷ total revenue; a channel that cannot be identified cannot be funded or cut</t>
  </si>
  <si>
    <t xml:space="preserve">Sheet </t>
  </si>
  <si>
    <t>Media Spend (Rs)</t>
  </si>
  <si>
    <t>Channel Performance</t>
  </si>
  <si>
    <t>Source Data</t>
  </si>
  <si>
    <t>Quarterly Spend &amp; Revenue</t>
  </si>
  <si>
    <t>Customer Demographics</t>
  </si>
  <si>
    <t>City Performance</t>
  </si>
  <si>
    <t>Regional Analysis</t>
  </si>
  <si>
    <t>Product Performance</t>
  </si>
  <si>
    <t>E-Commerce Behaviour Funnel</t>
  </si>
  <si>
    <t>Range across sheets</t>
  </si>
  <si>
    <t>191 – 1,811</t>
  </si>
  <si>
    <t>2,146,000 – 7,200,000  (3.4x)</t>
  </si>
  <si>
    <t>3,183,211 – 8,479,300</t>
  </si>
  <si>
    <t>No two sheets agree on transactions, revenue or spend. The analysis uses the Channel Performance base throughout.</t>
  </si>
  <si>
    <t>—</t>
  </si>
  <si>
    <t>Sensitivity block</t>
  </si>
  <si>
    <t>Margin</t>
  </si>
  <si>
    <t>Overcommitment</t>
  </si>
  <si>
    <t>Gross profit (Rs)</t>
  </si>
  <si>
    <t>Affordable monthly media (Rs)</t>
  </si>
  <si>
    <t>Net contribution (Rs)</t>
  </si>
  <si>
    <t>Revenue per ₹1 of marketing spend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</si>
</sst>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quot;_-;\-* #,##0.00\ &quot;€&quot;_-;_-* &quot;-&quot;??\ &quot;€&quot;_-;_-@_-"/>
    <numFmt numFmtId="164" formatCode="\₹#,##0"/>
    <numFmt numFmtId="165" formatCode="\₹#,##0.00"/>
    <numFmt numFmtId="166" formatCode="[$₹-4009]\ #,##0"/>
    <numFmt numFmtId="167" formatCode="[$₹-4009]\ #,##0.00"/>
    <numFmt numFmtId="168" formatCode="0.0%"/>
    <numFmt numFmtId="169" formatCode="0.000%"/>
  </numFmts>
  <fonts count="18" x14ac:knownFonts="1">
    <font>
      <sz val="11"/>
      <color theme="1"/>
      <name val="Calibri"/>
      <family val="2"/>
      <charset val="1"/>
    </font>
    <font>
      <i/>
      <sz val="11"/>
      <color rgb="FF444444"/>
      <name val="Calibri"/>
      <family val="2"/>
    </font>
    <font>
      <sz val="10.5"/>
      <name val="Calibri"/>
      <family val="2"/>
    </font>
    <font>
      <b/>
      <sz val="11"/>
      <color rgb="FFFFFFFF"/>
      <name val="Calibri"/>
      <family val="2"/>
    </font>
    <font>
      <b/>
      <sz val="10.5"/>
      <name val="Calibri"/>
      <family val="2"/>
    </font>
    <font>
      <i/>
      <sz val="9.5"/>
      <color rgb="FF666666"/>
      <name val="Calibri"/>
      <family val="2"/>
    </font>
    <font>
      <b/>
      <sz val="16"/>
      <color rgb="FF1F3864"/>
      <name val="Calibri"/>
      <family val="2"/>
    </font>
    <font>
      <sz val="16"/>
      <color theme="1"/>
      <name val="Calibri"/>
      <family val="2"/>
    </font>
    <font>
      <b/>
      <sz val="11"/>
      <color rgb="FF1F3864"/>
      <name val="Calibri"/>
      <family val="2"/>
    </font>
    <font>
      <sz val="11"/>
      <color theme="1"/>
      <name val="Calibri"/>
      <family val="2"/>
    </font>
    <font>
      <sz val="11"/>
      <name val="Calibri"/>
      <family val="2"/>
    </font>
    <font>
      <i/>
      <sz val="10"/>
      <color rgb="FF666666"/>
      <name val="Calibri"/>
      <family val="2"/>
    </font>
    <font>
      <sz val="11"/>
      <color theme="1"/>
      <name val="Calibri"/>
      <family val="2"/>
      <charset val="1"/>
    </font>
    <font>
      <b/>
      <sz val="11"/>
      <color theme="1"/>
      <name val="Calibri"/>
      <family val="2"/>
    </font>
    <font>
      <i/>
      <sz val="11"/>
      <color theme="1"/>
      <name val="Calibri"/>
      <family val="2"/>
    </font>
    <font>
      <sz val="10.5"/>
      <color theme="1"/>
      <name val="Calibri"/>
      <family val="2"/>
      <charset val="1"/>
    </font>
    <font>
      <sz val="10.5"/>
      <color theme="1"/>
      <name val="Calibri"/>
      <family val="2"/>
    </font>
    <font>
      <b/>
      <sz val="10.5"/>
      <color theme="1"/>
      <name val="Calibri"/>
      <family val="2"/>
    </font>
  </fonts>
  <fills count="6">
    <fill>
      <patternFill patternType="none"/>
    </fill>
    <fill>
      <patternFill patternType="gray125"/>
    </fill>
    <fill>
      <patternFill patternType="solid">
        <fgColor rgb="FF1F3864"/>
        <bgColor rgb="FF333399"/>
      </patternFill>
    </fill>
    <fill>
      <patternFill patternType="solid">
        <fgColor rgb="FFF2F6FA"/>
        <bgColor rgb="FFFFFFFF"/>
      </patternFill>
    </fill>
    <fill>
      <patternFill patternType="solid">
        <fgColor rgb="FFD9E2F3"/>
        <bgColor rgb="FFF2F6FA"/>
      </patternFill>
    </fill>
    <fill>
      <patternFill patternType="solid">
        <fgColor theme="4" tint="0.79998168889431442"/>
        <bgColor indexed="64"/>
      </patternFill>
    </fill>
  </fills>
  <borders count="12">
    <border>
      <left/>
      <right/>
      <top/>
      <bottom/>
      <diagonal/>
    </border>
    <border>
      <left style="thin">
        <color rgb="FFB7B7B7"/>
      </left>
      <right style="thin">
        <color rgb="FFB7B7B7"/>
      </right>
      <top style="thin">
        <color rgb="FFB7B7B7"/>
      </top>
      <bottom style="thin">
        <color rgb="FFB7B7B7"/>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hair">
        <color theme="0" tint="-0.499984740745262"/>
      </bottom>
      <diagonal/>
    </border>
  </borders>
  <cellStyleXfs count="3">
    <xf numFmtId="0" fontId="0" fillId="0" borderId="0"/>
    <xf numFmtId="44" fontId="12" fillId="0" borderId="0" applyFont="0" applyFill="0" applyBorder="0" applyAlignment="0" applyProtection="0"/>
    <xf numFmtId="9" fontId="12" fillId="0" borderId="0" applyFont="0" applyFill="0" applyBorder="0" applyAlignment="0" applyProtection="0"/>
  </cellStyleXfs>
  <cellXfs count="111">
    <xf numFmtId="0" fontId="0" fillId="0" borderId="0" xfId="0"/>
    <xf numFmtId="0" fontId="1" fillId="0" borderId="0" xfId="0" applyFont="1"/>
    <xf numFmtId="0" fontId="3" fillId="2" borderId="1" xfId="0" applyFont="1" applyFill="1" applyBorder="1" applyAlignment="1">
      <alignment horizontal="center" vertical="center" wrapText="1"/>
    </xf>
    <xf numFmtId="0" fontId="2" fillId="0" borderId="1" xfId="0" applyFont="1" applyBorder="1"/>
    <xf numFmtId="3" fontId="2" fillId="0" borderId="1" xfId="0" applyNumberFormat="1" applyFont="1" applyBorder="1"/>
    <xf numFmtId="10" fontId="2" fillId="0" borderId="1" xfId="0" applyNumberFormat="1" applyFont="1" applyBorder="1"/>
    <xf numFmtId="2" fontId="2" fillId="0" borderId="1" xfId="0" applyNumberFormat="1" applyFont="1" applyBorder="1"/>
    <xf numFmtId="164" fontId="2" fillId="0" borderId="1" xfId="0" applyNumberFormat="1" applyFont="1" applyBorder="1"/>
    <xf numFmtId="0" fontId="2" fillId="3" borderId="1" xfId="0" applyFont="1" applyFill="1" applyBorder="1"/>
    <xf numFmtId="3" fontId="2" fillId="3" borderId="1" xfId="0" applyNumberFormat="1" applyFont="1" applyFill="1" applyBorder="1"/>
    <xf numFmtId="10" fontId="2" fillId="3" borderId="1" xfId="0" applyNumberFormat="1" applyFont="1" applyFill="1" applyBorder="1"/>
    <xf numFmtId="2" fontId="2" fillId="3" borderId="1" xfId="0" applyNumberFormat="1" applyFont="1" applyFill="1" applyBorder="1"/>
    <xf numFmtId="164" fontId="2" fillId="3" borderId="1" xfId="0" applyNumberFormat="1" applyFont="1" applyFill="1" applyBorder="1"/>
    <xf numFmtId="0" fontId="4" fillId="4" borderId="1" xfId="0" applyFont="1" applyFill="1" applyBorder="1"/>
    <xf numFmtId="3" fontId="4" fillId="4" borderId="1" xfId="0" applyNumberFormat="1" applyFont="1" applyFill="1" applyBorder="1"/>
    <xf numFmtId="10" fontId="4" fillId="4" borderId="1" xfId="0" applyNumberFormat="1" applyFont="1" applyFill="1" applyBorder="1"/>
    <xf numFmtId="2" fontId="4" fillId="4" borderId="1" xfId="0" applyNumberFormat="1" applyFont="1" applyFill="1" applyBorder="1"/>
    <xf numFmtId="164" fontId="4" fillId="4" borderId="1" xfId="0" applyNumberFormat="1" applyFont="1" applyFill="1" applyBorder="1"/>
    <xf numFmtId="165" fontId="2" fillId="0" borderId="1" xfId="0" applyNumberFormat="1" applyFont="1" applyBorder="1"/>
    <xf numFmtId="165" fontId="2" fillId="3" borderId="1" xfId="0" applyNumberFormat="1" applyFont="1" applyFill="1" applyBorder="1"/>
    <xf numFmtId="165" fontId="4" fillId="4" borderId="1" xfId="0" applyNumberFormat="1" applyFont="1" applyFill="1" applyBorder="1"/>
    <xf numFmtId="0" fontId="8" fillId="0" borderId="0" xfId="0" applyFont="1"/>
    <xf numFmtId="0" fontId="9" fillId="0" borderId="0" xfId="0" applyFont="1"/>
    <xf numFmtId="0" fontId="10" fillId="0" borderId="0" xfId="0" applyFont="1" applyAlignment="1">
      <alignment vertical="top" wrapText="1"/>
    </xf>
    <xf numFmtId="0" fontId="6" fillId="5" borderId="0" xfId="0" applyFont="1" applyFill="1"/>
    <xf numFmtId="0" fontId="7" fillId="5" borderId="0" xfId="0" applyFont="1" applyFill="1"/>
    <xf numFmtId="0" fontId="2" fillId="0" borderId="5" xfId="0" applyFont="1" applyBorder="1"/>
    <xf numFmtId="0" fontId="0" fillId="0" borderId="11" xfId="0" applyBorder="1"/>
    <xf numFmtId="0" fontId="0" fillId="0" borderId="0" xfId="0" applyAlignment="1">
      <alignment horizontal="center"/>
    </xf>
    <xf numFmtId="0" fontId="14" fillId="0" borderId="0" xfId="0" applyFont="1"/>
    <xf numFmtId="0" fontId="13" fillId="0" borderId="3" xfId="0" applyFont="1" applyBorder="1" applyAlignment="1">
      <alignment horizontal="center" vertical="top"/>
    </xf>
    <xf numFmtId="0" fontId="13" fillId="0" borderId="9" xfId="0" applyFont="1" applyBorder="1" applyAlignment="1">
      <alignment horizontal="center" vertical="top"/>
    </xf>
    <xf numFmtId="0" fontId="13" fillId="0" borderId="4" xfId="0" applyFont="1" applyBorder="1" applyAlignment="1">
      <alignment horizontal="center" vertical="top"/>
    </xf>
    <xf numFmtId="0" fontId="13" fillId="0" borderId="5" xfId="0" applyFont="1" applyBorder="1" applyAlignment="1">
      <alignment vertical="top"/>
    </xf>
    <xf numFmtId="0" fontId="0" fillId="0" borderId="2" xfId="0" applyBorder="1" applyAlignment="1">
      <alignment vertical="top"/>
    </xf>
    <xf numFmtId="0" fontId="0" fillId="0" borderId="2" xfId="0" applyBorder="1" applyAlignment="1">
      <alignment horizontal="center" vertical="top"/>
    </xf>
    <xf numFmtId="0" fontId="0" fillId="0" borderId="6" xfId="0" applyBorder="1" applyAlignment="1">
      <alignment horizontal="center" vertical="top"/>
    </xf>
    <xf numFmtId="0" fontId="0" fillId="0" borderId="5" xfId="0" applyBorder="1" applyAlignment="1">
      <alignment vertical="top" wrapText="1"/>
    </xf>
    <xf numFmtId="0" fontId="0" fillId="0" borderId="2" xfId="0" applyBorder="1" applyAlignment="1">
      <alignment vertical="top" wrapText="1"/>
    </xf>
    <xf numFmtId="166" fontId="0" fillId="0" borderId="2" xfId="0" applyNumberFormat="1" applyBorder="1" applyAlignment="1">
      <alignment horizontal="center" vertical="top"/>
    </xf>
    <xf numFmtId="2" fontId="0" fillId="0" borderId="2" xfId="2" applyNumberFormat="1" applyFont="1" applyBorder="1" applyAlignment="1">
      <alignment horizontal="center" vertical="top"/>
    </xf>
    <xf numFmtId="2" fontId="0" fillId="0" borderId="2" xfId="0" applyNumberFormat="1" applyBorder="1" applyAlignment="1">
      <alignment horizontal="center" vertical="top"/>
    </xf>
    <xf numFmtId="0" fontId="0" fillId="0" borderId="5" xfId="0" applyBorder="1" applyAlignment="1">
      <alignment vertical="top"/>
    </xf>
    <xf numFmtId="10" fontId="0" fillId="0" borderId="2" xfId="0" applyNumberFormat="1" applyBorder="1" applyAlignment="1">
      <alignment horizontal="center" vertical="top"/>
    </xf>
    <xf numFmtId="10" fontId="0" fillId="0" borderId="2" xfId="2" applyNumberFormat="1" applyFont="1" applyBorder="1" applyAlignment="1">
      <alignment horizontal="center" vertical="top"/>
    </xf>
    <xf numFmtId="167" fontId="0" fillId="0" borderId="2" xfId="0" applyNumberFormat="1" applyBorder="1" applyAlignment="1">
      <alignment horizontal="center" vertical="top"/>
    </xf>
    <xf numFmtId="0" fontId="0" fillId="0" borderId="2" xfId="0" applyBorder="1" applyAlignment="1">
      <alignment horizontal="center" vertical="top" wrapText="1"/>
    </xf>
    <xf numFmtId="168" fontId="0" fillId="0" borderId="2" xfId="2" applyNumberFormat="1" applyFont="1" applyBorder="1" applyAlignment="1">
      <alignment horizontal="center" vertical="top"/>
    </xf>
    <xf numFmtId="0" fontId="0" fillId="0" borderId="7" xfId="0" applyBorder="1" applyAlignment="1">
      <alignment vertical="top" wrapText="1"/>
    </xf>
    <xf numFmtId="0" fontId="0" fillId="0" borderId="10" xfId="0" applyBorder="1" applyAlignment="1">
      <alignment vertical="top" wrapText="1"/>
    </xf>
    <xf numFmtId="0" fontId="0" fillId="0" borderId="10" xfId="0" applyBorder="1" applyAlignment="1">
      <alignment horizontal="center" vertical="top" wrapText="1"/>
    </xf>
    <xf numFmtId="0" fontId="0" fillId="0" borderId="10" xfId="0" applyBorder="1" applyAlignment="1">
      <alignment horizontal="center" vertical="top"/>
    </xf>
    <xf numFmtId="0" fontId="0" fillId="0" borderId="8" xfId="0" applyBorder="1" applyAlignment="1">
      <alignment horizontal="center" vertical="top"/>
    </xf>
    <xf numFmtId="0" fontId="0" fillId="0" borderId="3" xfId="0" applyBorder="1" applyAlignment="1">
      <alignment horizontal="center"/>
    </xf>
    <xf numFmtId="0" fontId="0" fillId="0" borderId="9" xfId="0" applyBorder="1" applyAlignment="1">
      <alignment horizontal="center"/>
    </xf>
    <xf numFmtId="0" fontId="0" fillId="0" borderId="4" xfId="0" applyBorder="1" applyAlignment="1">
      <alignment horizontal="center"/>
    </xf>
    <xf numFmtId="0" fontId="4" fillId="0" borderId="7" xfId="0" applyFont="1" applyBorder="1"/>
    <xf numFmtId="0" fontId="13" fillId="0" borderId="10" xfId="0" applyFont="1" applyBorder="1"/>
    <xf numFmtId="0" fontId="13" fillId="0" borderId="8" xfId="0" applyFont="1" applyBorder="1"/>
    <xf numFmtId="3" fontId="0" fillId="0" borderId="2" xfId="0" applyNumberFormat="1" applyBorder="1" applyAlignment="1">
      <alignment horizontal="center"/>
    </xf>
    <xf numFmtId="166" fontId="0" fillId="0" borderId="2" xfId="0" applyNumberFormat="1" applyBorder="1" applyAlignment="1">
      <alignment horizontal="center"/>
    </xf>
    <xf numFmtId="166" fontId="0" fillId="0" borderId="6" xfId="0" applyNumberFormat="1" applyBorder="1" applyAlignment="1">
      <alignment horizontal="center"/>
    </xf>
    <xf numFmtId="0" fontId="0" fillId="0" borderId="6" xfId="0" applyBorder="1" applyAlignment="1">
      <alignment horizontal="center"/>
    </xf>
    <xf numFmtId="0" fontId="0" fillId="0" borderId="2" xfId="0" applyBorder="1" applyAlignment="1">
      <alignment horizontal="center"/>
    </xf>
    <xf numFmtId="3" fontId="2" fillId="0" borderId="2" xfId="0" applyNumberFormat="1" applyFont="1" applyBorder="1" applyAlignment="1">
      <alignment horizontal="center"/>
    </xf>
    <xf numFmtId="164" fontId="2" fillId="0" borderId="2" xfId="0" applyNumberFormat="1" applyFont="1" applyBorder="1" applyAlignment="1">
      <alignment horizontal="center"/>
    </xf>
    <xf numFmtId="0" fontId="2" fillId="0" borderId="5" xfId="0" applyFont="1" applyBorder="1" applyAlignment="1">
      <alignment horizontal="left"/>
    </xf>
    <xf numFmtId="0" fontId="2" fillId="0" borderId="7" xfId="0" applyFont="1" applyBorder="1" applyAlignment="1">
      <alignment horizontal="left"/>
    </xf>
    <xf numFmtId="3" fontId="2" fillId="0" borderId="6" xfId="0" applyNumberFormat="1" applyFont="1" applyBorder="1" applyAlignment="1">
      <alignment horizontal="center"/>
    </xf>
    <xf numFmtId="10" fontId="15" fillId="0" borderId="2" xfId="2" applyNumberFormat="1" applyFont="1" applyBorder="1" applyAlignment="1">
      <alignment horizontal="center"/>
    </xf>
    <xf numFmtId="166" fontId="15" fillId="0" borderId="2" xfId="0" applyNumberFormat="1" applyFont="1" applyBorder="1" applyAlignment="1">
      <alignment horizontal="center"/>
    </xf>
    <xf numFmtId="0" fontId="15" fillId="0" borderId="2" xfId="0" applyFont="1" applyBorder="1" applyAlignment="1">
      <alignment horizontal="center"/>
    </xf>
    <xf numFmtId="167" fontId="15" fillId="0" borderId="6" xfId="0" applyNumberFormat="1" applyFont="1" applyBorder="1" applyAlignment="1">
      <alignment horizontal="center"/>
    </xf>
    <xf numFmtId="166" fontId="15" fillId="0" borderId="2" xfId="1" applyNumberFormat="1" applyFont="1" applyBorder="1" applyAlignment="1">
      <alignment horizontal="center"/>
    </xf>
    <xf numFmtId="2" fontId="15" fillId="0" borderId="2" xfId="0" applyNumberFormat="1" applyFont="1" applyBorder="1" applyAlignment="1">
      <alignment horizontal="center"/>
    </xf>
    <xf numFmtId="10" fontId="15" fillId="0" borderId="10" xfId="2" applyNumberFormat="1" applyFont="1" applyBorder="1" applyAlignment="1">
      <alignment horizontal="center"/>
    </xf>
    <xf numFmtId="166" fontId="15" fillId="0" borderId="10" xfId="0" applyNumberFormat="1" applyFont="1" applyBorder="1" applyAlignment="1">
      <alignment horizontal="center"/>
    </xf>
    <xf numFmtId="166" fontId="15" fillId="0" borderId="10" xfId="1" applyNumberFormat="1" applyFont="1" applyBorder="1" applyAlignment="1">
      <alignment horizontal="center"/>
    </xf>
    <xf numFmtId="0" fontId="15" fillId="0" borderId="10" xfId="0" applyFont="1" applyBorder="1" applyAlignment="1">
      <alignment horizontal="center"/>
    </xf>
    <xf numFmtId="0" fontId="15" fillId="0" borderId="8" xfId="0" applyFont="1" applyBorder="1" applyAlignment="1">
      <alignment horizontal="center"/>
    </xf>
    <xf numFmtId="0" fontId="16" fillId="0" borderId="3" xfId="0" applyFont="1" applyBorder="1" applyAlignment="1">
      <alignment wrapText="1"/>
    </xf>
    <xf numFmtId="9" fontId="16" fillId="0" borderId="4" xfId="2" applyFont="1" applyBorder="1" applyAlignment="1">
      <alignment horizontal="right"/>
    </xf>
    <xf numFmtId="0" fontId="16" fillId="0" borderId="0" xfId="0" applyFont="1"/>
    <xf numFmtId="0" fontId="16" fillId="0" borderId="5" xfId="0" applyFont="1" applyBorder="1"/>
    <xf numFmtId="166" fontId="16" fillId="0" borderId="6" xfId="0" applyNumberFormat="1" applyFont="1" applyBorder="1"/>
    <xf numFmtId="0" fontId="16" fillId="0" borderId="5" xfId="0" applyFont="1" applyBorder="1" applyAlignment="1">
      <alignment wrapText="1"/>
    </xf>
    <xf numFmtId="2" fontId="16" fillId="0" borderId="6" xfId="0" applyNumberFormat="1" applyFont="1" applyBorder="1"/>
    <xf numFmtId="0" fontId="16" fillId="0" borderId="7" xfId="0" applyFont="1" applyBorder="1" applyAlignment="1">
      <alignment wrapText="1"/>
    </xf>
    <xf numFmtId="2" fontId="16" fillId="0" borderId="8" xfId="0" applyNumberFormat="1" applyFont="1" applyBorder="1"/>
    <xf numFmtId="0" fontId="16" fillId="0" borderId="3" xfId="0" applyFont="1" applyBorder="1" applyAlignment="1">
      <alignment horizontal="center" wrapText="1"/>
    </xf>
    <xf numFmtId="0" fontId="16" fillId="0" borderId="9" xfId="0" applyFont="1" applyBorder="1" applyAlignment="1">
      <alignment horizontal="center"/>
    </xf>
    <xf numFmtId="0" fontId="16" fillId="0" borderId="4" xfId="0" applyFont="1" applyBorder="1" applyAlignment="1">
      <alignment horizontal="center"/>
    </xf>
    <xf numFmtId="0" fontId="16" fillId="0" borderId="7" xfId="0" applyFont="1" applyBorder="1" applyAlignment="1">
      <alignment horizontal="left"/>
    </xf>
    <xf numFmtId="3" fontId="16" fillId="0" borderId="10" xfId="0" applyNumberFormat="1" applyFont="1" applyBorder="1" applyAlignment="1">
      <alignment horizontal="center"/>
    </xf>
    <xf numFmtId="3" fontId="16" fillId="0" borderId="8" xfId="0" applyNumberFormat="1" applyFont="1" applyBorder="1" applyAlignment="1">
      <alignment horizontal="center"/>
    </xf>
    <xf numFmtId="0" fontId="16" fillId="0" borderId="3" xfId="0" applyFont="1" applyBorder="1" applyAlignment="1">
      <alignment horizontal="center"/>
    </xf>
    <xf numFmtId="169" fontId="16" fillId="0" borderId="6" xfId="2" applyNumberFormat="1" applyFont="1" applyBorder="1" applyAlignment="1">
      <alignment horizontal="center"/>
    </xf>
    <xf numFmtId="0" fontId="16" fillId="0" borderId="10" xfId="0" applyFont="1" applyBorder="1" applyAlignment="1">
      <alignment horizontal="center"/>
    </xf>
    <xf numFmtId="2" fontId="16" fillId="0" borderId="8" xfId="0" applyNumberFormat="1" applyFont="1" applyBorder="1" applyAlignment="1">
      <alignment horizontal="center"/>
    </xf>
    <xf numFmtId="0" fontId="17" fillId="0" borderId="0" xfId="0" applyFont="1"/>
    <xf numFmtId="9" fontId="16" fillId="0" borderId="5" xfId="0" applyNumberFormat="1" applyFont="1" applyBorder="1" applyAlignment="1">
      <alignment horizontal="center"/>
    </xf>
    <xf numFmtId="166" fontId="16" fillId="0" borderId="2" xfId="0" applyNumberFormat="1" applyFont="1" applyBorder="1" applyAlignment="1">
      <alignment horizontal="center"/>
    </xf>
    <xf numFmtId="2" fontId="16" fillId="0" borderId="2" xfId="0" applyNumberFormat="1" applyFont="1" applyBorder="1" applyAlignment="1">
      <alignment horizontal="center"/>
    </xf>
    <xf numFmtId="166" fontId="16" fillId="0" borderId="6" xfId="0" applyNumberFormat="1" applyFont="1" applyBorder="1" applyAlignment="1">
      <alignment horizontal="center"/>
    </xf>
    <xf numFmtId="9" fontId="16" fillId="0" borderId="7" xfId="0" applyNumberFormat="1" applyFont="1" applyBorder="1" applyAlignment="1">
      <alignment horizontal="center"/>
    </xf>
    <xf numFmtId="166" fontId="16" fillId="0" borderId="10" xfId="0" applyNumberFormat="1" applyFont="1" applyBorder="1" applyAlignment="1">
      <alignment horizontal="center"/>
    </xf>
    <xf numFmtId="2" fontId="16" fillId="0" borderId="10" xfId="0" applyNumberFormat="1" applyFont="1" applyBorder="1" applyAlignment="1">
      <alignment horizontal="center"/>
    </xf>
    <xf numFmtId="166" fontId="16" fillId="0" borderId="8" xfId="0" applyNumberFormat="1" applyFont="1" applyBorder="1" applyAlignment="1">
      <alignment horizontal="center"/>
    </xf>
    <xf numFmtId="3" fontId="16" fillId="0" borderId="6" xfId="0" applyNumberFormat="1" applyFont="1" applyBorder="1" applyAlignment="1">
      <alignment horizontal="center"/>
    </xf>
    <xf numFmtId="0" fontId="5" fillId="0" borderId="0" xfId="0" applyFont="1" applyAlignment="1">
      <alignment wrapText="1"/>
    </xf>
    <xf numFmtId="0" fontId="11" fillId="0" borderId="0" xfId="0" applyFont="1" applyAlignment="1">
      <alignment wrapText="1"/>
    </xf>
  </cellXfs>
  <cellStyles count="3">
    <cellStyle name="Currency" xfId="1" builtinId="4"/>
    <cellStyle name="Normal" xfId="0" builtinId="0"/>
    <cellStyle name="Per cent" xfId="2" builtinId="5"/>
  </cellStyles>
  <dxfs count="72">
    <dxf>
      <font>
        <color rgb="FF9C0006"/>
      </font>
      <fill>
        <patternFill>
          <bgColor rgb="FFFFC7CE"/>
        </patternFill>
      </fill>
    </dxf>
    <dxf>
      <border diagonalUp="0" diagonalDown="0">
        <left style="thin">
          <color indexed="64"/>
        </left>
        <right/>
        <top style="thin">
          <color indexed="64"/>
        </top>
        <bottom style="thin">
          <color indexed="64"/>
        </bottom>
        <vertical style="thin">
          <color indexed="64"/>
        </vertical>
        <horizontal style="thin">
          <color indexed="64"/>
        </horizontal>
      </border>
    </dxf>
    <dxf>
      <numFmt numFmtId="166" formatCode="[$₹-4009]\ #,##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5"/>
        <color auto="1"/>
        <name val="Calibri"/>
        <family val="2"/>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5"/>
        <name val="Calibri"/>
        <family val="2"/>
        <scheme val="none"/>
      </font>
      <numFmt numFmtId="166" formatCode="[$₹-4009]\ #,##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5"/>
        <name val="Calibri"/>
        <family val="2"/>
        <scheme val="none"/>
      </font>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5"/>
        <name val="Calibri"/>
        <family val="2"/>
        <scheme val="none"/>
      </font>
      <numFmt numFmtId="166" formatCode="[$₹-4009]\ #,##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5"/>
        <name val="Calibri"/>
        <family val="2"/>
        <scheme val="none"/>
      </font>
      <numFmt numFmtId="166" formatCode="[$₹-4009]\ #,##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5"/>
        <name val="Calibri"/>
        <family val="2"/>
        <scheme val="none"/>
      </font>
      <numFmt numFmtId="13" formatCode="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5"/>
        <name val="Calibri"/>
        <family val="2"/>
        <scheme val="none"/>
      </font>
      <alignment horizontal="center" vertical="bottom" textRotation="0" wrapText="0" indent="0" justifyLastLine="0" shrinkToFit="0" readingOrder="0"/>
    </dxf>
    <dxf>
      <border>
        <bottom style="thin">
          <color indexed="64"/>
        </bottom>
      </border>
    </dxf>
    <dxf>
      <font>
        <strike val="0"/>
        <outline val="0"/>
        <shadow val="0"/>
        <u val="none"/>
        <vertAlign val="baseline"/>
        <sz val="10.5"/>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5"/>
        <name val="Calibri"/>
        <family val="2"/>
        <scheme val="none"/>
      </font>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5"/>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5"/>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5"/>
        <name val="Calibri"/>
        <family val="2"/>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5"/>
        <name val="Calibri"/>
        <family val="2"/>
        <scheme val="none"/>
      </font>
      <alignment horizontal="center" vertical="bottom" textRotation="0" wrapText="0" indent="0" justifyLastLine="0" shrinkToFit="0" readingOrder="0"/>
    </dxf>
    <dxf>
      <border>
        <bottom style="thin">
          <color indexed="64"/>
        </bottom>
      </border>
    </dxf>
    <dxf>
      <font>
        <strike val="0"/>
        <outline val="0"/>
        <shadow val="0"/>
        <u val="none"/>
        <vertAlign val="baseline"/>
        <sz val="10.5"/>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5"/>
        <name val="Calibri"/>
        <family val="2"/>
        <scheme val="none"/>
      </font>
      <alignment horizontal="center" vertical="bottom" textRotation="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5"/>
        <name val="Calibri"/>
        <family val="2"/>
        <scheme val="none"/>
      </font>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5"/>
        <name val="Calibri"/>
        <family val="2"/>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5"/>
        <name val="Calibri"/>
        <family val="2"/>
        <scheme val="none"/>
      </font>
      <alignment horizontal="center" vertical="bottom" textRotation="0" indent="0" justifyLastLine="0" shrinkToFit="0" readingOrder="0"/>
    </dxf>
    <dxf>
      <border>
        <bottom style="thin">
          <color indexed="64"/>
        </bottom>
      </border>
    </dxf>
    <dxf>
      <font>
        <strike val="0"/>
        <outline val="0"/>
        <shadow val="0"/>
        <u val="none"/>
        <vertAlign val="baseline"/>
        <sz val="10.5"/>
        <name val="Calibri"/>
        <family val="2"/>
        <scheme val="none"/>
      </font>
      <alignment horizontal="center" vertical="bottom"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0.5"/>
        <name val="Calibri"/>
        <family val="2"/>
        <scheme val="none"/>
      </font>
      <border diagonalUp="0" diagonalDown="0" outline="0">
        <left style="thin">
          <color indexed="64"/>
        </left>
        <right/>
        <top style="thin">
          <color indexed="64"/>
        </top>
        <bottom style="thin">
          <color indexed="64"/>
        </bottom>
      </border>
    </dxf>
    <dxf>
      <font>
        <strike val="0"/>
        <outline val="0"/>
        <shadow val="0"/>
        <u val="none"/>
        <vertAlign val="baseline"/>
        <sz val="10.5"/>
        <name val="Calibri"/>
        <family val="2"/>
        <scheme val="none"/>
      </font>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5"/>
        <name val="Calibri"/>
        <family val="2"/>
        <scheme val="none"/>
      </font>
    </dxf>
    <dxf>
      <border>
        <bottom style="thin">
          <color indexed="64"/>
        </bottom>
      </border>
    </dxf>
    <dxf>
      <font>
        <strike val="0"/>
        <outline val="0"/>
        <shadow val="0"/>
        <u val="none"/>
        <vertAlign val="baseline"/>
        <sz val="10.5"/>
        <name val="Calibri"/>
        <family val="2"/>
        <scheme val="none"/>
      </font>
      <border diagonalUp="0" diagonalDown="0" outline="0">
        <left style="thin">
          <color indexed="64"/>
        </left>
        <right style="thin">
          <color indexed="64"/>
        </right>
        <top/>
        <bottom/>
      </border>
    </dxf>
    <dxf>
      <font>
        <strike val="0"/>
        <outline val="0"/>
        <shadow val="0"/>
        <u val="none"/>
        <vertAlign val="baseline"/>
        <sz val="10.5"/>
        <color theme="1"/>
        <name val="Calibri"/>
        <family val="2"/>
        <charset val="1"/>
        <scheme val="none"/>
      </font>
      <numFmt numFmtId="167" formatCode="[$₹-4009]\ #,##0.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5"/>
        <color theme="1"/>
        <name val="Calibri"/>
        <family val="2"/>
        <charset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5"/>
        <color theme="1"/>
        <name val="Calibri"/>
        <family val="2"/>
        <charset val="1"/>
        <scheme val="none"/>
      </font>
      <numFmt numFmtId="166" formatCode="[$₹-4009]\ #,##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5"/>
        <color theme="1"/>
        <name val="Calibri"/>
        <family val="2"/>
        <charset val="1"/>
        <scheme val="none"/>
      </font>
      <numFmt numFmtId="166" formatCode="[$₹-4009]\ #,##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5"/>
        <color theme="1"/>
        <name val="Calibri"/>
        <family val="2"/>
        <charset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5"/>
        <color theme="1"/>
        <name val="Calibri"/>
        <family val="2"/>
        <charset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5"/>
        <color theme="1"/>
        <name val="Calibri"/>
        <family val="2"/>
        <charset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5"/>
        <color auto="1"/>
        <name val="Calibri"/>
        <family val="2"/>
        <scheme val="none"/>
      </font>
      <numFmt numFmtId="164" formatCode="\₹#,##0"/>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5"/>
        <color auto="1"/>
        <name val="Calibri"/>
        <family val="2"/>
        <scheme val="none"/>
      </font>
      <numFmt numFmtId="3" formatCode="#,##0"/>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5"/>
        <color auto="1"/>
        <name val="Calibri"/>
        <family val="2"/>
        <scheme val="none"/>
      </font>
      <numFmt numFmtId="164" formatCode="\₹#,##0"/>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5"/>
        <color auto="1"/>
        <name val="Calibri"/>
        <family val="2"/>
        <scheme val="none"/>
      </font>
      <numFmt numFmtId="3" formatCode="#,##0"/>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5"/>
        <color auto="1"/>
        <name val="Calibri"/>
        <family val="2"/>
        <scheme val="none"/>
      </font>
      <fill>
        <patternFill patternType="none">
          <fgColor indexed="64"/>
          <bgColor indexed="65"/>
        </patternFill>
      </fill>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top"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top" textRotation="0" wrapText="0"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6FA"/>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Spend</a:t>
            </a:r>
            <a:r>
              <a:rPr lang="en-GB" baseline="0"/>
              <a:t> Share vs Revenue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barChart>
        <c:barDir val="col"/>
        <c:grouping val="clustered"/>
        <c:varyColors val="0"/>
        <c:ser>
          <c:idx val="0"/>
          <c:order val="0"/>
          <c:tx>
            <c:strRef>
              <c:f>ANALYSIS!$F$1</c:f>
              <c:strCache>
                <c:ptCount val="1"/>
                <c:pt idx="0">
                  <c:v>Spend Share</c:v>
                </c:pt>
              </c:strCache>
            </c:strRef>
          </c:tx>
          <c:spPr>
            <a:solidFill>
              <a:schemeClr val="accent1"/>
            </a:solidFill>
            <a:ln>
              <a:noFill/>
            </a:ln>
            <a:effectLst/>
          </c:spPr>
          <c:invertIfNegative val="0"/>
          <c:cat>
            <c:strRef>
              <c:f>ANALYSIS!$A$2:$A$7</c:f>
              <c:strCache>
                <c:ptCount val="6"/>
                <c:pt idx="0">
                  <c:v>Organic search</c:v>
                </c:pt>
                <c:pt idx="1">
                  <c:v>Direct</c:v>
                </c:pt>
                <c:pt idx="2">
                  <c:v>Referral</c:v>
                </c:pt>
                <c:pt idx="3">
                  <c:v>Paid search</c:v>
                </c:pt>
                <c:pt idx="4">
                  <c:v>Social</c:v>
                </c:pt>
                <c:pt idx="5">
                  <c:v>Email</c:v>
                </c:pt>
              </c:strCache>
            </c:strRef>
          </c:cat>
          <c:val>
            <c:numRef>
              <c:f>ANALYSIS!$F$2:$F$7</c:f>
              <c:numCache>
                <c:formatCode>0.00%</c:formatCode>
                <c:ptCount val="6"/>
                <c:pt idx="0">
                  <c:v>0</c:v>
                </c:pt>
                <c:pt idx="1">
                  <c:v>0</c:v>
                </c:pt>
                <c:pt idx="2">
                  <c:v>0</c:v>
                </c:pt>
                <c:pt idx="3">
                  <c:v>0.5</c:v>
                </c:pt>
                <c:pt idx="4">
                  <c:v>0.41666666666666669</c:v>
                </c:pt>
                <c:pt idx="5">
                  <c:v>8.3333333333333329E-2</c:v>
                </c:pt>
              </c:numCache>
            </c:numRef>
          </c:val>
          <c:extLst>
            <c:ext xmlns:c16="http://schemas.microsoft.com/office/drawing/2014/chart" uri="{C3380CC4-5D6E-409C-BE32-E72D297353CC}">
              <c16:uniqueId val="{00000000-8FA5-5449-A5BE-9208A2B65DEB}"/>
            </c:ext>
          </c:extLst>
        </c:ser>
        <c:ser>
          <c:idx val="1"/>
          <c:order val="1"/>
          <c:tx>
            <c:strRef>
              <c:f>ANALYSIS!$G$1</c:f>
              <c:strCache>
                <c:ptCount val="1"/>
                <c:pt idx="0">
                  <c:v>Revenue Share</c:v>
                </c:pt>
              </c:strCache>
            </c:strRef>
          </c:tx>
          <c:spPr>
            <a:solidFill>
              <a:schemeClr val="accent2"/>
            </a:solidFill>
            <a:ln>
              <a:noFill/>
            </a:ln>
            <a:effectLst/>
          </c:spPr>
          <c:invertIfNegative val="0"/>
          <c:cat>
            <c:strRef>
              <c:f>ANALYSIS!$A$2:$A$7</c:f>
              <c:strCache>
                <c:ptCount val="6"/>
                <c:pt idx="0">
                  <c:v>Organic search</c:v>
                </c:pt>
                <c:pt idx="1">
                  <c:v>Direct</c:v>
                </c:pt>
                <c:pt idx="2">
                  <c:v>Referral</c:v>
                </c:pt>
                <c:pt idx="3">
                  <c:v>Paid search</c:v>
                </c:pt>
                <c:pt idx="4">
                  <c:v>Social</c:v>
                </c:pt>
                <c:pt idx="5">
                  <c:v>Email</c:v>
                </c:pt>
              </c:strCache>
            </c:strRef>
          </c:cat>
          <c:val>
            <c:numRef>
              <c:f>ANALYSIS!$G$2:$G$7</c:f>
              <c:numCache>
                <c:formatCode>0.00%</c:formatCode>
                <c:ptCount val="6"/>
                <c:pt idx="0">
                  <c:v>0.38575118229099098</c:v>
                </c:pt>
                <c:pt idx="1">
                  <c:v>0.2010307454624792</c:v>
                </c:pt>
                <c:pt idx="2">
                  <c:v>0.27343058978925144</c:v>
                </c:pt>
                <c:pt idx="3">
                  <c:v>7.2211149505265762E-2</c:v>
                </c:pt>
                <c:pt idx="4">
                  <c:v>5.9179413394973644E-2</c:v>
                </c:pt>
                <c:pt idx="5">
                  <c:v>8.3969195570389073E-3</c:v>
                </c:pt>
              </c:numCache>
            </c:numRef>
          </c:val>
          <c:extLst>
            <c:ext xmlns:c16="http://schemas.microsoft.com/office/drawing/2014/chart" uri="{C3380CC4-5D6E-409C-BE32-E72D297353CC}">
              <c16:uniqueId val="{00000001-8FA5-5449-A5BE-9208A2B65DEB}"/>
            </c:ext>
          </c:extLst>
        </c:ser>
        <c:dLbls>
          <c:showLegendKey val="0"/>
          <c:showVal val="0"/>
          <c:showCatName val="0"/>
          <c:showSerName val="0"/>
          <c:showPercent val="0"/>
          <c:showBubbleSize val="0"/>
        </c:dLbls>
        <c:gapWidth val="219"/>
        <c:overlap val="-27"/>
        <c:axId val="226115391"/>
        <c:axId val="2006526672"/>
      </c:barChart>
      <c:catAx>
        <c:axId val="22611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2006526672"/>
        <c:crosses val="autoZero"/>
        <c:auto val="1"/>
        <c:lblAlgn val="ctr"/>
        <c:lblOffset val="100"/>
        <c:noMultiLvlLbl val="0"/>
      </c:catAx>
      <c:valAx>
        <c:axId val="20065266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2261153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 per visit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barChart>
        <c:barDir val="bar"/>
        <c:grouping val="clustered"/>
        <c:varyColors val="0"/>
        <c:ser>
          <c:idx val="0"/>
          <c:order val="0"/>
          <c:spPr>
            <a:solidFill>
              <a:schemeClr val="accent1"/>
            </a:solidFill>
            <a:ln>
              <a:noFill/>
            </a:ln>
            <a:effectLst/>
          </c:spPr>
          <c:invertIfNegative val="0"/>
          <c:cat>
            <c:strRef>
              <c:f>ANALYSIS!$A$2:$A$7</c:f>
              <c:strCache>
                <c:ptCount val="6"/>
                <c:pt idx="0">
                  <c:v>Organic search</c:v>
                </c:pt>
                <c:pt idx="1">
                  <c:v>Direct</c:v>
                </c:pt>
                <c:pt idx="2">
                  <c:v>Referral</c:v>
                </c:pt>
                <c:pt idx="3">
                  <c:v>Paid search</c:v>
                </c:pt>
                <c:pt idx="4">
                  <c:v>Social</c:v>
                </c:pt>
                <c:pt idx="5">
                  <c:v>Email</c:v>
                </c:pt>
              </c:strCache>
            </c:strRef>
          </c:cat>
          <c:val>
            <c:numRef>
              <c:f>ANALYSIS!$L$2:$L$7</c:f>
              <c:numCache>
                <c:formatCode>[$₹-4009]\ #,##0.00</c:formatCode>
                <c:ptCount val="6"/>
                <c:pt idx="0">
                  <c:v>18.320264366528509</c:v>
                </c:pt>
                <c:pt idx="1">
                  <c:v>26.684408265497808</c:v>
                </c:pt>
                <c:pt idx="2">
                  <c:v>168.49563953488371</c:v>
                </c:pt>
                <c:pt idx="3">
                  <c:v>12.669149596523898</c:v>
                </c:pt>
                <c:pt idx="4">
                  <c:v>8.6338609772883697</c:v>
                </c:pt>
                <c:pt idx="5">
                  <c:v>62.456140350877192</c:v>
                </c:pt>
              </c:numCache>
            </c:numRef>
          </c:val>
          <c:extLst>
            <c:ext xmlns:c16="http://schemas.microsoft.com/office/drawing/2014/chart" uri="{C3380CC4-5D6E-409C-BE32-E72D297353CC}">
              <c16:uniqueId val="{00000000-75F6-3649-8DC9-B3FE66564523}"/>
            </c:ext>
          </c:extLst>
        </c:ser>
        <c:dLbls>
          <c:showLegendKey val="0"/>
          <c:showVal val="0"/>
          <c:showCatName val="0"/>
          <c:showSerName val="0"/>
          <c:showPercent val="0"/>
          <c:showBubbleSize val="0"/>
        </c:dLbls>
        <c:gapWidth val="182"/>
        <c:axId val="1308249840"/>
        <c:axId val="1899281840"/>
      </c:barChart>
      <c:catAx>
        <c:axId val="1308249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899281840"/>
        <c:crosses val="autoZero"/>
        <c:auto val="1"/>
        <c:lblAlgn val="ctr"/>
        <c:lblOffset val="100"/>
        <c:noMultiLvlLbl val="0"/>
      </c:catAx>
      <c:valAx>
        <c:axId val="1899281840"/>
        <c:scaling>
          <c:orientation val="minMax"/>
        </c:scaling>
        <c:delete val="0"/>
        <c:axPos val="b"/>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308249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rgbClr val="000000">
                    <a:lumMod val="65000"/>
                    <a:lumOff val="35000"/>
                  </a:srgbClr>
                </a:solidFill>
              </a:rPr>
              <a:t>Quarterly Total Spend vs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tx>
            <c:strRef>
              <c:f>'QUARTERLY CHART'!$B$1</c:f>
              <c:strCache>
                <c:ptCount val="1"/>
                <c:pt idx="0">
                  <c:v>Total Spend (Rs)</c:v>
                </c:pt>
              </c:strCache>
            </c:strRef>
          </c:tx>
          <c:spPr>
            <a:ln w="28575" cap="rnd">
              <a:solidFill>
                <a:schemeClr val="accent1"/>
              </a:solidFill>
              <a:round/>
            </a:ln>
            <a:effectLst/>
          </c:spPr>
          <c:marker>
            <c:symbol val="none"/>
          </c:marker>
          <c:cat>
            <c:strRef>
              <c:f>'QUARTERLY CHART'!$A$2:$A$14</c:f>
              <c:strCache>
                <c:ptCount val="13"/>
                <c:pt idx="0">
                  <c:v>2015 Q3 (Sep only)</c:v>
                </c:pt>
                <c:pt idx="1">
                  <c:v>2015 Q4</c:v>
                </c:pt>
                <c:pt idx="2">
                  <c:v>2016 Q1</c:v>
                </c:pt>
                <c:pt idx="3">
                  <c:v>2016 Q2</c:v>
                </c:pt>
                <c:pt idx="4">
                  <c:v>2016 Q3</c:v>
                </c:pt>
                <c:pt idx="5">
                  <c:v>2016 Q4</c:v>
                </c:pt>
                <c:pt idx="6">
                  <c:v>2017 Q1</c:v>
                </c:pt>
                <c:pt idx="7">
                  <c:v>2017 Q2</c:v>
                </c:pt>
                <c:pt idx="8">
                  <c:v>2017 Q3</c:v>
                </c:pt>
                <c:pt idx="9">
                  <c:v>2017 Q4</c:v>
                </c:pt>
                <c:pt idx="10">
                  <c:v>2018 Q1</c:v>
                </c:pt>
                <c:pt idx="11">
                  <c:v>2018 Q2</c:v>
                </c:pt>
                <c:pt idx="12">
                  <c:v>2018 Q3 (Jul-Aug)</c:v>
                </c:pt>
              </c:strCache>
            </c:strRef>
          </c:cat>
          <c:val>
            <c:numRef>
              <c:f>'QUARTERLY CHART'!$B$2:$B$14</c:f>
              <c:numCache>
                <c:formatCode>\₹#,##0</c:formatCode>
                <c:ptCount val="13"/>
                <c:pt idx="0">
                  <c:v>316000</c:v>
                </c:pt>
                <c:pt idx="1">
                  <c:v>474000</c:v>
                </c:pt>
                <c:pt idx="2">
                  <c:v>474000</c:v>
                </c:pt>
                <c:pt idx="3">
                  <c:v>474000</c:v>
                </c:pt>
                <c:pt idx="4">
                  <c:v>474000</c:v>
                </c:pt>
                <c:pt idx="5">
                  <c:v>474000</c:v>
                </c:pt>
                <c:pt idx="6">
                  <c:v>474000</c:v>
                </c:pt>
                <c:pt idx="7">
                  <c:v>474000</c:v>
                </c:pt>
                <c:pt idx="8">
                  <c:v>474000</c:v>
                </c:pt>
                <c:pt idx="9">
                  <c:v>474000</c:v>
                </c:pt>
                <c:pt idx="10">
                  <c:v>474000</c:v>
                </c:pt>
                <c:pt idx="11">
                  <c:v>474000</c:v>
                </c:pt>
                <c:pt idx="12">
                  <c:v>316000</c:v>
                </c:pt>
              </c:numCache>
            </c:numRef>
          </c:val>
          <c:smooth val="0"/>
          <c:extLst>
            <c:ext xmlns:c16="http://schemas.microsoft.com/office/drawing/2014/chart" uri="{C3380CC4-5D6E-409C-BE32-E72D297353CC}">
              <c16:uniqueId val="{00000000-4972-E942-B9FD-639B28652CB7}"/>
            </c:ext>
          </c:extLst>
        </c:ser>
        <c:ser>
          <c:idx val="1"/>
          <c:order val="1"/>
          <c:tx>
            <c:strRef>
              <c:f>'QUARTERLY CHART'!$C$1</c:f>
              <c:strCache>
                <c:ptCount val="1"/>
                <c:pt idx="0">
                  <c:v>Total Revenue (Rs)</c:v>
                </c:pt>
              </c:strCache>
            </c:strRef>
          </c:tx>
          <c:spPr>
            <a:ln w="28575" cap="rnd">
              <a:solidFill>
                <a:schemeClr val="accent2"/>
              </a:solidFill>
              <a:round/>
            </a:ln>
            <a:effectLst/>
          </c:spPr>
          <c:marker>
            <c:symbol val="none"/>
          </c:marker>
          <c:cat>
            <c:strRef>
              <c:f>'QUARTERLY CHART'!$A$2:$A$14</c:f>
              <c:strCache>
                <c:ptCount val="13"/>
                <c:pt idx="0">
                  <c:v>2015 Q3 (Sep only)</c:v>
                </c:pt>
                <c:pt idx="1">
                  <c:v>2015 Q4</c:v>
                </c:pt>
                <c:pt idx="2">
                  <c:v>2016 Q1</c:v>
                </c:pt>
                <c:pt idx="3">
                  <c:v>2016 Q2</c:v>
                </c:pt>
                <c:pt idx="4">
                  <c:v>2016 Q3</c:v>
                </c:pt>
                <c:pt idx="5">
                  <c:v>2016 Q4</c:v>
                </c:pt>
                <c:pt idx="6">
                  <c:v>2017 Q1</c:v>
                </c:pt>
                <c:pt idx="7">
                  <c:v>2017 Q2</c:v>
                </c:pt>
                <c:pt idx="8">
                  <c:v>2017 Q3</c:v>
                </c:pt>
                <c:pt idx="9">
                  <c:v>2017 Q4</c:v>
                </c:pt>
                <c:pt idx="10">
                  <c:v>2018 Q1</c:v>
                </c:pt>
                <c:pt idx="11">
                  <c:v>2018 Q2</c:v>
                </c:pt>
                <c:pt idx="12">
                  <c:v>2018 Q3 (Jul-Aug)</c:v>
                </c:pt>
              </c:strCache>
            </c:strRef>
          </c:cat>
          <c:val>
            <c:numRef>
              <c:f>'QUARTERLY CHART'!$C$2:$C$14</c:f>
              <c:numCache>
                <c:formatCode>\₹#,##0</c:formatCode>
                <c:ptCount val="13"/>
                <c:pt idx="0">
                  <c:v>140000</c:v>
                </c:pt>
                <c:pt idx="1">
                  <c:v>480000</c:v>
                </c:pt>
                <c:pt idx="2">
                  <c:v>560000</c:v>
                </c:pt>
                <c:pt idx="3">
                  <c:v>610000</c:v>
                </c:pt>
                <c:pt idx="4">
                  <c:v>650000</c:v>
                </c:pt>
                <c:pt idx="5">
                  <c:v>700000</c:v>
                </c:pt>
                <c:pt idx="6">
                  <c:v>760000</c:v>
                </c:pt>
                <c:pt idx="7">
                  <c:v>790000</c:v>
                </c:pt>
                <c:pt idx="8">
                  <c:v>740000</c:v>
                </c:pt>
                <c:pt idx="9">
                  <c:v>690000</c:v>
                </c:pt>
                <c:pt idx="10">
                  <c:v>610000</c:v>
                </c:pt>
                <c:pt idx="11">
                  <c:v>540000</c:v>
                </c:pt>
                <c:pt idx="12">
                  <c:v>320000</c:v>
                </c:pt>
              </c:numCache>
            </c:numRef>
          </c:val>
          <c:smooth val="0"/>
          <c:extLst>
            <c:ext xmlns:c16="http://schemas.microsoft.com/office/drawing/2014/chart" uri="{C3380CC4-5D6E-409C-BE32-E72D297353CC}">
              <c16:uniqueId val="{00000001-4972-E942-B9FD-639B28652CB7}"/>
            </c:ext>
          </c:extLst>
        </c:ser>
        <c:dLbls>
          <c:showLegendKey val="0"/>
          <c:showVal val="0"/>
          <c:showCatName val="0"/>
          <c:showSerName val="0"/>
          <c:showPercent val="0"/>
          <c:showBubbleSize val="0"/>
        </c:dLbls>
        <c:smooth val="0"/>
        <c:axId val="226063759"/>
        <c:axId val="1050074592"/>
      </c:lineChart>
      <c:catAx>
        <c:axId val="22606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050074592"/>
        <c:crosses val="autoZero"/>
        <c:auto val="1"/>
        <c:lblAlgn val="ctr"/>
        <c:lblOffset val="100"/>
        <c:noMultiLvlLbl val="0"/>
      </c:catAx>
      <c:valAx>
        <c:axId val="10500745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226063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12</xdr:col>
      <xdr:colOff>355600</xdr:colOff>
      <xdr:row>0</xdr:row>
      <xdr:rowOff>114300</xdr:rowOff>
    </xdr:from>
    <xdr:to>
      <xdr:col>20</xdr:col>
      <xdr:colOff>0</xdr:colOff>
      <xdr:row>19</xdr:row>
      <xdr:rowOff>114300</xdr:rowOff>
    </xdr:to>
    <xdr:graphicFrame macro="">
      <xdr:nvGraphicFramePr>
        <xdr:cNvPr id="5" name="Chart 4">
          <a:extLst>
            <a:ext uri="{FF2B5EF4-FFF2-40B4-BE49-F238E27FC236}">
              <a16:creationId xmlns:a16="http://schemas.microsoft.com/office/drawing/2014/main" id="{5D9DE47F-2DFF-B834-27AB-26EC3B12D7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317500</xdr:colOff>
      <xdr:row>21</xdr:row>
      <xdr:rowOff>25400</xdr:rowOff>
    </xdr:from>
    <xdr:to>
      <xdr:col>20</xdr:col>
      <xdr:colOff>50800</xdr:colOff>
      <xdr:row>40</xdr:row>
      <xdr:rowOff>63500</xdr:rowOff>
    </xdr:to>
    <xdr:graphicFrame macro="">
      <xdr:nvGraphicFramePr>
        <xdr:cNvPr id="6" name="Chart 5">
          <a:extLst>
            <a:ext uri="{FF2B5EF4-FFF2-40B4-BE49-F238E27FC236}">
              <a16:creationId xmlns:a16="http://schemas.microsoft.com/office/drawing/2014/main" id="{41E9FB08-F4BC-8F9A-1E1B-9AD3038F6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812800</xdr:colOff>
      <xdr:row>0</xdr:row>
      <xdr:rowOff>533400</xdr:rowOff>
    </xdr:from>
    <xdr:to>
      <xdr:col>13</xdr:col>
      <xdr:colOff>25400</xdr:colOff>
      <xdr:row>22</xdr:row>
      <xdr:rowOff>152400</xdr:rowOff>
    </xdr:to>
    <xdr:graphicFrame macro="">
      <xdr:nvGraphicFramePr>
        <xdr:cNvPr id="5" name="Chart 4">
          <a:extLst>
            <a:ext uri="{FF2B5EF4-FFF2-40B4-BE49-F238E27FC236}">
              <a16:creationId xmlns:a16="http://schemas.microsoft.com/office/drawing/2014/main" id="{2E5F30E2-3E23-2687-AD33-C5C6B67C9A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8</xdr:col>
      <xdr:colOff>628650</xdr:colOff>
      <xdr:row>16</xdr:row>
      <xdr:rowOff>127000</xdr:rowOff>
    </xdr:from>
    <xdr:ext cx="65" cy="172227"/>
    <xdr:sp macro="" textlink="">
      <xdr:nvSpPr>
        <xdr:cNvPr id="2" name="TextBox 1">
          <a:extLst>
            <a:ext uri="{FF2B5EF4-FFF2-40B4-BE49-F238E27FC236}">
              <a16:creationId xmlns:a16="http://schemas.microsoft.com/office/drawing/2014/main" id="{1E9773DB-5531-DEC4-AD2E-848E74998EEC}"/>
            </a:ext>
          </a:extLst>
        </xdr:cNvPr>
        <xdr:cNvSpPr txBox="1"/>
      </xdr:nvSpPr>
      <xdr:spPr>
        <a:xfrm>
          <a:off x="10052050" y="317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1FE90C-AAEA-674B-8FCD-4712B67EC960}" name="Table2" displayName="Table2" ref="A1:L8" totalsRowShown="0" headerRowDxfId="59" dataDxfId="57" headerRowBorderDxfId="58" tableBorderDxfId="56" totalsRowBorderDxfId="55">
  <autoFilter ref="A1:L8" xr:uid="{191FE90C-AAEA-674B-8FCD-4712B67EC96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608C0D3B-1254-FF46-AB5B-DD12CC0E5E2B}" name="Channel " dataDxfId="54"/>
    <tableColumn id="2" xr3:uid="{6BB09B04-5F29-9C41-9B04-4D4E9C78ADB5}" name="Sessions " dataDxfId="53">
      <calculatedColumnFormula>'Channel Performance'!C2</calculatedColumnFormula>
    </tableColumn>
    <tableColumn id="3" xr3:uid="{C21FE990-0007-4C4B-A487-E1951419CC54}" name="3-year Ad Spend (Rs) " dataDxfId="52">
      <calculatedColumnFormula>'Channel Performance'!J2</calculatedColumnFormula>
    </tableColumn>
    <tableColumn id="4" xr3:uid="{024B7619-7692-584D-8C86-C3E193B74752}" name="Transactions" dataDxfId="51">
      <calculatedColumnFormula>'Channel Performance'!H2</calculatedColumnFormula>
    </tableColumn>
    <tableColumn id="5" xr3:uid="{76F10F18-F912-4946-8F91-440E2AF56787}" name="Revenue (Rs)" dataDxfId="50">
      <calculatedColumnFormula>'Channel Performance'!I2</calculatedColumnFormula>
    </tableColumn>
    <tableColumn id="6" xr3:uid="{4ECAEC6D-78DF-CD42-82EB-55B4D1D9BCF7}" name="Spend Share" dataDxfId="49" dataCellStyle="Per cent"/>
    <tableColumn id="7" xr3:uid="{FA93A006-B8BA-4841-8135-2B7A96E731C3}" name="Revenue Share" dataDxfId="48" dataCellStyle="Per cent"/>
    <tableColumn id="8" xr3:uid="{F8F1D6DF-A2BD-0C43-B081-0161A608C251}" name="Conversion Rate" dataDxfId="47" dataCellStyle="Per cent">
      <calculatedColumnFormula>D2/B2</calculatedColumnFormula>
    </tableColumn>
    <tableColumn id="9" xr3:uid="{0EBCD83A-BDA8-8545-901A-6BDD6D3CF812}" name="AOV" dataDxfId="46">
      <calculatedColumnFormula>E2/D2</calculatedColumnFormula>
    </tableColumn>
    <tableColumn id="10" xr3:uid="{839E50EA-801A-B344-BCC9-1B8CFFB413F2}" name="CAC" dataDxfId="45" dataCellStyle="Currency"/>
    <tableColumn id="11" xr3:uid="{1A7ECC76-7A93-7949-95B5-457119580E41}" name="ROAS" dataDxfId="44"/>
    <tableColumn id="12" xr3:uid="{5947BF1E-0801-C641-904C-A17C506A5676}" name="Rev/Visit" dataDxfId="4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98021D-B1D0-B941-A474-CB07D8D26087}" name="Table3" displayName="Table3" ref="A10:B16" totalsRowShown="0" headerRowDxfId="42" dataDxfId="40" headerRowBorderDxfId="41" tableBorderDxfId="39" totalsRowBorderDxfId="38">
  <autoFilter ref="A10:B16" xr:uid="{0398021D-B1D0-B941-A474-CB07D8D26087}">
    <filterColumn colId="0" hiddenButton="1"/>
    <filterColumn colId="1" hiddenButton="1"/>
  </autoFilter>
  <tableColumns count="2">
    <tableColumn id="1" xr3:uid="{FA28FC07-CC0D-BC49-BB77-4AFA51082AC7}" name="Gross margin (assumption)" dataDxfId="37"/>
    <tableColumn id="2" xr3:uid="{6FFE5437-49DF-5F4B-B034-AE686FED94D0}" name="25%" dataDxfId="3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987FAA-9CF1-D748-84CA-76A6323D58FB}" name="Table4" displayName="Table4" ref="A18:C21" totalsRowShown="0" headerRowDxfId="35" dataDxfId="33" headerRowBorderDxfId="34" tableBorderDxfId="32" totalsRowBorderDxfId="31">
  <autoFilter ref="A18:C21" xr:uid="{1F987FAA-9CF1-D748-84CA-76A6323D58FB}">
    <filterColumn colId="0" hiddenButton="1"/>
    <filterColumn colId="1" hiddenButton="1"/>
    <filterColumn colId="2" hiddenButton="1"/>
  </autoFilter>
  <tableColumns count="3">
    <tableColumn id="1" xr3:uid="{63B2D7B1-3B02-B64F-B9DF-6F7FDBDA2076}" name="Source" dataDxfId="30"/>
    <tableColumn id="2" xr3:uid="{C41FA9DB-16DC-FD4D-B279-BB7A2E3D6744}" name="Sessions " dataDxfId="29"/>
    <tableColumn id="3" xr3:uid="{26CA4A49-B234-D448-AAEA-DA873699A1BA}" name="Transactions " dataDxfId="2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7498E21-F629-8D4B-A9C9-28881EE01FAD}" name="Table5" displayName="Table5" ref="A23:D26" totalsRowShown="0" headerRowDxfId="27" dataDxfId="25" headerRowBorderDxfId="26" tableBorderDxfId="24" totalsRowBorderDxfId="23">
  <autoFilter ref="A23:D26" xr:uid="{07498E21-F629-8D4B-A9C9-28881EE01FAD}">
    <filterColumn colId="0" hiddenButton="1"/>
    <filterColumn colId="1" hiddenButton="1"/>
    <filterColumn colId="2" hiddenButton="1"/>
    <filterColumn colId="3" hiddenButton="1"/>
  </autoFilter>
  <tableColumns count="4">
    <tableColumn id="1" xr3:uid="{31C4FD9D-A351-3C42-928A-198AC3AD7E78}" name="User Type" dataDxfId="22"/>
    <tableColumn id="2" xr3:uid="{1E857CAC-59B7-244C-8C83-497529FCEC69}" name="All Sessions " dataDxfId="21"/>
    <tableColumn id="3" xr3:uid="{672C2016-FFC3-DE40-8F67-975967D3E312}" name="Successful transactions " dataDxfId="20"/>
    <tableColumn id="4" xr3:uid="{C5F0DB11-699F-8A44-A87D-2E5A5153CB4E}" name="Conv" dataDxfId="1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ED1CFE2-A828-1D44-BEDC-01F152F6584B}" name="Table7" displayName="Table7" ref="A29:E32" totalsRowShown="0" headerRowDxfId="18" dataDxfId="16" headerRowBorderDxfId="17" tableBorderDxfId="15" totalsRowBorderDxfId="14">
  <autoFilter ref="A29:E32" xr:uid="{3ED1CFE2-A828-1D44-BEDC-01F152F6584B}">
    <filterColumn colId="0" hiddenButton="1"/>
    <filterColumn colId="1" hiddenButton="1"/>
    <filterColumn colId="2" hiddenButton="1"/>
    <filterColumn colId="3" hiddenButton="1"/>
    <filterColumn colId="4" hiddenButton="1"/>
  </autoFilter>
  <tableColumns count="5">
    <tableColumn id="1" xr3:uid="{984430D1-69E3-F349-8C6B-4205D4E7B2F0}" name="Margin" dataDxfId="13"/>
    <tableColumn id="2" xr3:uid="{665E6C16-146D-564B-B0D4-07260776AA5F}" name="Gross profit (Rs)" dataDxfId="12">
      <calculatedColumnFormula>$E$8*A30</calculatedColumnFormula>
    </tableColumn>
    <tableColumn id="3" xr3:uid="{12ADB632-A579-8B41-B5EE-8A4E5397142F}" name="Affordable monthly media (Rs)" dataDxfId="11">
      <calculatedColumnFormula>B30/36</calculatedColumnFormula>
    </tableColumn>
    <tableColumn id="4" xr3:uid="{23D3B3CA-206E-8340-8985-9D8029D44345}" name="Overcommitment" dataDxfId="10">
      <calculatedColumnFormula>200000/C30</calculatedColumnFormula>
    </tableColumn>
    <tableColumn id="5" xr3:uid="{DE87DD9F-8DC3-5C40-A30E-BDE4B72A9549}" name="Net contribution (Rs)" dataDxfId="9">
      <calculatedColumnFormula>B30-ANALYSIS!$B$12</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2873603-0F2B-6C47-9177-716E9A30CFB2}" name="Table6" displayName="Table6" ref="A1:D10" totalsRowShown="0" headerRowDxfId="8" headerRowBorderDxfId="7" tableBorderDxfId="6" totalsRowBorderDxfId="5">
  <autoFilter ref="A1:D10" xr:uid="{82873603-0F2B-6C47-9177-716E9A30CFB2}">
    <filterColumn colId="0" hiddenButton="1"/>
    <filterColumn colId="1" hiddenButton="1"/>
    <filterColumn colId="2" hiddenButton="1"/>
    <filterColumn colId="3" hiddenButton="1"/>
  </autoFilter>
  <tableColumns count="4">
    <tableColumn id="1" xr3:uid="{AB14B07D-858C-0340-8F3A-9CC21C0181B7}" name="Sheet " dataDxfId="4"/>
    <tableColumn id="2" xr3:uid="{44E41029-E427-7741-B5FA-D504B543952F}" name="Transactions" dataDxfId="3"/>
    <tableColumn id="3" xr3:uid="{808B77CE-D1EE-7840-8F26-7675FA2D0768}" name="Revenue (Rs)" dataDxfId="2"/>
    <tableColumn id="4" xr3:uid="{1CD11BF4-2807-E542-B96B-8EDC61131661}" name="Media Spend (Rs)" dataDxfId="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CF84AE-60F9-9D4A-8ACB-8F83B75F9AFD}" name="Table1" displayName="Table1" ref="A1:G23" totalsRowShown="0" headerRowDxfId="71" dataDxfId="69" headerRowBorderDxfId="70" tableBorderDxfId="68" totalsRowBorderDxfId="67">
  <autoFilter ref="A1:G23" xr:uid="{E8CF84AE-60F9-9D4A-8ACB-8F83B75F9AF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B2EB7AD-C160-EA42-B926-552694D0F175}" name="KPI" dataDxfId="66"/>
    <tableColumn id="2" xr3:uid="{3661F265-F862-AE41-875D-417CC93933FF}" name="How  it is calculated " dataDxfId="65"/>
    <tableColumn id="3" xr3:uid="{B0AD81DE-3E26-D540-B1D3-B27763B3912E}" name="Current " dataDxfId="64"/>
    <tableColumn id="4" xr3:uid="{8DBC5549-6D9D-C04C-A081-909C95C83D99}" name="Target" dataDxfId="63"/>
    <tableColumn id="5" xr3:uid="{8A3D849F-22D4-F942-807D-2036F22EACF9}" name="Better " dataDxfId="62"/>
    <tableColumn id="6" xr3:uid="{D581A847-C789-D247-8A52-9C348A4EAF28}" name="Status " dataDxfId="61">
      <calculatedColumnFormula>IF(NOT(ISNUMBER(C2)),"Not yet tracked",IF(TRIM(E2)="High",IF(C2&gt;=D2,"On target","OFF TARGET"),IF(C2&lt;=D2,"On target","OFF TARGET")))</calculatedColumnFormula>
    </tableColumn>
    <tableColumn id="7" xr3:uid="{A108A9F1-952C-A844-9F8E-D0372D3A7DB6}" name="Review "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showGridLines="0" zoomScale="97" zoomScaleNormal="100" workbookViewId="0">
      <selection activeCell="A27" sqref="A27"/>
    </sheetView>
  </sheetViews>
  <sheetFormatPr baseColWidth="10" defaultColWidth="8.6640625" defaultRowHeight="15" x14ac:dyDescent="0.2"/>
  <cols>
    <col min="1" max="1" width="220.6640625" style="22" customWidth="1"/>
    <col min="2" max="16384" width="8.6640625" style="22"/>
  </cols>
  <sheetData>
    <row r="1" spans="1:1" s="25" customFormat="1" ht="18" customHeight="1" x14ac:dyDescent="0.25">
      <c r="A1" s="24" t="s">
        <v>0</v>
      </c>
    </row>
    <row r="2" spans="1:1" ht="15" customHeight="1" x14ac:dyDescent="0.2">
      <c r="A2" s="1" t="s">
        <v>1</v>
      </c>
    </row>
    <row r="3" spans="1:1" ht="15.75" customHeight="1" x14ac:dyDescent="0.2">
      <c r="A3" s="23"/>
    </row>
    <row r="4" spans="1:1" ht="15.75" customHeight="1" x14ac:dyDescent="0.2">
      <c r="A4" s="21" t="s">
        <v>2</v>
      </c>
    </row>
    <row r="5" spans="1:1" ht="30" customHeight="1" x14ac:dyDescent="0.2">
      <c r="A5" s="23" t="s">
        <v>285</v>
      </c>
    </row>
    <row r="6" spans="1:1" ht="15.75" customHeight="1" x14ac:dyDescent="0.2">
      <c r="A6" s="21" t="s">
        <v>3</v>
      </c>
    </row>
    <row r="7" spans="1:1" ht="64" x14ac:dyDescent="0.2">
      <c r="A7" s="23" t="s">
        <v>4</v>
      </c>
    </row>
    <row r="8" spans="1:1" ht="15.75" customHeight="1" x14ac:dyDescent="0.2">
      <c r="A8" s="21" t="s">
        <v>5</v>
      </c>
    </row>
    <row r="9" spans="1:1" ht="30" customHeight="1" x14ac:dyDescent="0.2">
      <c r="A9" s="23" t="s">
        <v>6</v>
      </c>
    </row>
    <row r="10" spans="1:1" ht="15.75" customHeight="1" x14ac:dyDescent="0.2">
      <c r="A10" s="23"/>
    </row>
    <row r="11" spans="1:1" ht="15.75" customHeight="1" x14ac:dyDescent="0.2">
      <c r="A11" s="21" t="s">
        <v>7</v>
      </c>
    </row>
    <row r="12" spans="1:1" ht="30" customHeight="1" x14ac:dyDescent="0.2">
      <c r="A12" s="23" t="s">
        <v>8</v>
      </c>
    </row>
    <row r="13" spans="1:1" ht="15.75" customHeight="1" x14ac:dyDescent="0.2">
      <c r="A13" s="21" t="s">
        <v>9</v>
      </c>
    </row>
    <row r="14" spans="1:1" ht="16" customHeight="1" x14ac:dyDescent="0.2">
      <c r="A14" s="23" t="s">
        <v>10</v>
      </c>
    </row>
    <row r="15" spans="1:1" ht="15.75" customHeight="1" x14ac:dyDescent="0.2">
      <c r="A15" s="23" t="s">
        <v>11</v>
      </c>
    </row>
    <row r="16" spans="1:1" ht="15.75" customHeight="1" x14ac:dyDescent="0.2">
      <c r="A16" s="23" t="s">
        <v>12</v>
      </c>
    </row>
    <row r="17" spans="1:1" ht="15.75" customHeight="1" x14ac:dyDescent="0.2">
      <c r="A17" s="23" t="s">
        <v>13</v>
      </c>
    </row>
    <row r="18" spans="1:1" ht="17" customHeight="1" x14ac:dyDescent="0.2">
      <c r="A18" s="23" t="s">
        <v>14</v>
      </c>
    </row>
    <row r="19" spans="1:1" ht="15.75" customHeight="1" x14ac:dyDescent="0.2">
      <c r="A19" s="23" t="s">
        <v>15</v>
      </c>
    </row>
    <row r="20" spans="1:1" ht="15.75" customHeight="1" x14ac:dyDescent="0.2">
      <c r="A20" s="23" t="s">
        <v>16</v>
      </c>
    </row>
    <row r="21" spans="1:1" ht="15" customHeight="1" x14ac:dyDescent="0.2">
      <c r="A21" s="23" t="s">
        <v>17</v>
      </c>
    </row>
    <row r="22" spans="1:1" ht="16" customHeight="1" x14ac:dyDescent="0.2">
      <c r="A22" s="23" t="s">
        <v>18</v>
      </c>
    </row>
    <row r="23" spans="1:1" ht="30" customHeight="1" x14ac:dyDescent="0.2">
      <c r="A23" s="23" t="s">
        <v>19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
  <sheetViews>
    <sheetView zoomScaleNormal="100" workbookViewId="0">
      <pane ySplit="1" topLeftCell="A2" activePane="bottomLeft" state="frozen"/>
      <selection pane="bottomLeft" activeCell="J2" sqref="J2"/>
    </sheetView>
  </sheetViews>
  <sheetFormatPr baseColWidth="10" defaultColWidth="8.6640625" defaultRowHeight="15" x14ac:dyDescent="0.2"/>
  <cols>
    <col min="1" max="1" width="20" customWidth="1"/>
    <col min="2" max="4" width="12" customWidth="1"/>
    <col min="5" max="5" width="14" customWidth="1"/>
    <col min="6" max="7" width="20" customWidth="1"/>
    <col min="8" max="8" width="13" customWidth="1"/>
    <col min="9" max="9" width="15" customWidth="1"/>
    <col min="10" max="10" width="17" customWidth="1"/>
  </cols>
  <sheetData>
    <row r="1" spans="1:10" ht="27.75" customHeight="1" x14ac:dyDescent="0.2">
      <c r="A1" s="2" t="s">
        <v>20</v>
      </c>
      <c r="B1" s="2" t="s">
        <v>21</v>
      </c>
      <c r="C1" s="2" t="s">
        <v>22</v>
      </c>
      <c r="D1" s="2" t="s">
        <v>23</v>
      </c>
      <c r="E1" s="2" t="s">
        <v>24</v>
      </c>
      <c r="F1" s="2" t="s">
        <v>25</v>
      </c>
      <c r="G1" s="2" t="s">
        <v>26</v>
      </c>
      <c r="H1" s="2" t="s">
        <v>27</v>
      </c>
      <c r="I1" s="2" t="s">
        <v>28</v>
      </c>
      <c r="J1" s="2" t="s">
        <v>29</v>
      </c>
    </row>
    <row r="2" spans="1:10" ht="15" customHeight="1" x14ac:dyDescent="0.2">
      <c r="A2" s="3" t="s">
        <v>30</v>
      </c>
      <c r="B2" s="4">
        <v>142300</v>
      </c>
      <c r="C2" s="4">
        <v>178540</v>
      </c>
      <c r="D2" s="5">
        <v>0.158</v>
      </c>
      <c r="E2" s="6">
        <v>4.0999999999999996</v>
      </c>
      <c r="F2" s="4">
        <v>132</v>
      </c>
      <c r="G2" s="5">
        <v>4.1999999999999997E-3</v>
      </c>
      <c r="H2" s="4">
        <v>750</v>
      </c>
      <c r="I2" s="7">
        <v>3270900</v>
      </c>
      <c r="J2" s="7">
        <v>0</v>
      </c>
    </row>
    <row r="3" spans="1:10" ht="15" customHeight="1" x14ac:dyDescent="0.2">
      <c r="A3" s="8" t="s">
        <v>31</v>
      </c>
      <c r="B3" s="9">
        <v>51200</v>
      </c>
      <c r="C3" s="9">
        <v>63880</v>
      </c>
      <c r="D3" s="10">
        <v>0.214</v>
      </c>
      <c r="E3" s="11">
        <v>4.4000000000000004</v>
      </c>
      <c r="F3" s="9">
        <v>165</v>
      </c>
      <c r="G3" s="10">
        <v>5.7999999999999996E-3</v>
      </c>
      <c r="H3" s="9">
        <v>371</v>
      </c>
      <c r="I3" s="12">
        <v>1704600</v>
      </c>
      <c r="J3" s="12">
        <v>0</v>
      </c>
    </row>
    <row r="4" spans="1:10" ht="15" customHeight="1" x14ac:dyDescent="0.2">
      <c r="A4" s="3" t="s">
        <v>32</v>
      </c>
      <c r="B4" s="4">
        <v>9850</v>
      </c>
      <c r="C4" s="4">
        <v>13760</v>
      </c>
      <c r="D4" s="5">
        <v>0.24099999999999999</v>
      </c>
      <c r="E4" s="6">
        <v>5.2</v>
      </c>
      <c r="F4" s="4">
        <v>189</v>
      </c>
      <c r="G4" s="5">
        <v>2.9000000000000001E-2</v>
      </c>
      <c r="H4" s="4">
        <v>399</v>
      </c>
      <c r="I4" s="7">
        <v>2318500</v>
      </c>
      <c r="J4" s="7">
        <v>0</v>
      </c>
    </row>
    <row r="5" spans="1:10" ht="15" customHeight="1" x14ac:dyDescent="0.2">
      <c r="A5" s="8" t="s">
        <v>33</v>
      </c>
      <c r="B5" s="9">
        <v>39700</v>
      </c>
      <c r="C5" s="9">
        <v>48330</v>
      </c>
      <c r="D5" s="10">
        <v>0.13900000000000001</v>
      </c>
      <c r="E5" s="11">
        <v>4.5</v>
      </c>
      <c r="F5" s="9">
        <v>128</v>
      </c>
      <c r="G5" s="10">
        <v>3.0999999999999999E-3</v>
      </c>
      <c r="H5" s="9">
        <v>150</v>
      </c>
      <c r="I5" s="12">
        <v>612300</v>
      </c>
      <c r="J5" s="12">
        <v>3600000</v>
      </c>
    </row>
    <row r="6" spans="1:10" ht="15" customHeight="1" x14ac:dyDescent="0.2">
      <c r="A6" s="3" t="s">
        <v>34</v>
      </c>
      <c r="B6" s="4">
        <v>46900</v>
      </c>
      <c r="C6" s="4">
        <v>58120</v>
      </c>
      <c r="D6" s="5">
        <v>0.27600000000000002</v>
      </c>
      <c r="E6" s="6">
        <v>3.6</v>
      </c>
      <c r="F6" s="4">
        <v>96</v>
      </c>
      <c r="G6" s="5">
        <v>2.2000000000000001E-3</v>
      </c>
      <c r="H6" s="4">
        <v>128</v>
      </c>
      <c r="I6" s="7">
        <v>501800</v>
      </c>
      <c r="J6" s="7">
        <v>3000000</v>
      </c>
    </row>
    <row r="7" spans="1:10" ht="15" customHeight="1" x14ac:dyDescent="0.2">
      <c r="A7" s="8" t="s">
        <v>35</v>
      </c>
      <c r="B7" s="9">
        <v>620</v>
      </c>
      <c r="C7" s="9">
        <v>1140</v>
      </c>
      <c r="D7" s="10">
        <v>9.1999999999999998E-2</v>
      </c>
      <c r="E7" s="11">
        <v>8.6999999999999993</v>
      </c>
      <c r="F7" s="9">
        <v>340</v>
      </c>
      <c r="G7" s="10">
        <v>1.0999999999999999E-2</v>
      </c>
      <c r="H7" s="9">
        <v>13</v>
      </c>
      <c r="I7" s="12">
        <v>71200</v>
      </c>
      <c r="J7" s="12">
        <v>600000</v>
      </c>
    </row>
    <row r="8" spans="1:10" ht="15" customHeight="1" x14ac:dyDescent="0.2">
      <c r="A8" s="13" t="s">
        <v>36</v>
      </c>
      <c r="B8" s="14">
        <f>SUM(B2:B7)</f>
        <v>290570</v>
      </c>
      <c r="C8" s="14">
        <f>SUM(C2:C7)</f>
        <v>363770</v>
      </c>
      <c r="D8" s="15"/>
      <c r="E8" s="16"/>
      <c r="F8" s="14"/>
      <c r="G8" s="15"/>
      <c r="H8" s="14">
        <f>SUM(H2:H7)</f>
        <v>1811</v>
      </c>
      <c r="I8" s="17">
        <f>SUM(I2:I7)</f>
        <v>8479300</v>
      </c>
      <c r="J8" s="17">
        <f>SUM(J2:J7)</f>
        <v>7200000</v>
      </c>
    </row>
    <row r="10" spans="1:10" ht="45" customHeight="1" x14ac:dyDescent="0.2">
      <c r="A10" s="109" t="s">
        <v>37</v>
      </c>
      <c r="B10" s="109"/>
      <c r="C10" s="109"/>
      <c r="D10" s="109"/>
      <c r="E10" s="109"/>
      <c r="F10" s="109"/>
      <c r="G10" s="109"/>
      <c r="H10" s="109"/>
      <c r="I10" s="109"/>
      <c r="J10" s="109"/>
    </row>
  </sheetData>
  <mergeCells count="1">
    <mergeCell ref="A10:J1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4"/>
  <sheetViews>
    <sheetView zoomScaleNormal="100" workbookViewId="0">
      <pane ySplit="1" topLeftCell="A2" activePane="bottomLeft" state="frozen"/>
      <selection pane="bottomLeft" activeCell="D6" sqref="D6"/>
    </sheetView>
  </sheetViews>
  <sheetFormatPr baseColWidth="10" defaultColWidth="8.6640625" defaultRowHeight="15" x14ac:dyDescent="0.2"/>
  <cols>
    <col min="1" max="1" width="26" customWidth="1"/>
    <col min="2" max="2" width="10" customWidth="1"/>
    <col min="3" max="4" width="11" customWidth="1"/>
    <col min="5" max="5" width="12" customWidth="1"/>
    <col min="6" max="6" width="13" customWidth="1"/>
    <col min="7" max="7" width="20" customWidth="1"/>
    <col min="8" max="8" width="22" customWidth="1"/>
    <col min="9" max="9" width="12" customWidth="1"/>
    <col min="10" max="10" width="14" customWidth="1"/>
  </cols>
  <sheetData>
    <row r="1" spans="1:10" ht="27.75" customHeight="1" x14ac:dyDescent="0.2">
      <c r="A1" s="2" t="s">
        <v>38</v>
      </c>
      <c r="B1" s="2" t="s">
        <v>39</v>
      </c>
      <c r="C1" s="2" t="s">
        <v>21</v>
      </c>
      <c r="D1" s="2" t="s">
        <v>22</v>
      </c>
      <c r="E1" s="2" t="s">
        <v>23</v>
      </c>
      <c r="F1" s="2" t="s">
        <v>40</v>
      </c>
      <c r="G1" s="2" t="s">
        <v>41</v>
      </c>
      <c r="H1" s="2" t="s">
        <v>26</v>
      </c>
      <c r="I1" s="2" t="s">
        <v>27</v>
      </c>
      <c r="J1" s="2" t="s">
        <v>28</v>
      </c>
    </row>
    <row r="2" spans="1:10" ht="15" customHeight="1" x14ac:dyDescent="0.2">
      <c r="A2" s="3" t="s">
        <v>42</v>
      </c>
      <c r="B2" s="4">
        <v>98400</v>
      </c>
      <c r="C2" s="4">
        <v>91100</v>
      </c>
      <c r="D2" s="4">
        <v>122600</v>
      </c>
      <c r="E2" s="5">
        <v>0.152</v>
      </c>
      <c r="F2" s="6">
        <v>4.2</v>
      </c>
      <c r="G2" s="4">
        <v>135</v>
      </c>
      <c r="H2" s="5">
        <v>4.4000000000000003E-3</v>
      </c>
      <c r="I2" s="4">
        <v>543</v>
      </c>
      <c r="J2" s="7">
        <v>2412100</v>
      </c>
    </row>
    <row r="3" spans="1:10" ht="15" customHeight="1" x14ac:dyDescent="0.2">
      <c r="A3" s="8" t="s">
        <v>43</v>
      </c>
      <c r="B3" s="9">
        <v>44300</v>
      </c>
      <c r="C3" s="9">
        <v>51200</v>
      </c>
      <c r="D3" s="9">
        <v>63880</v>
      </c>
      <c r="E3" s="10">
        <v>0.214</v>
      </c>
      <c r="F3" s="11">
        <v>4.4000000000000004</v>
      </c>
      <c r="G3" s="9">
        <v>165</v>
      </c>
      <c r="H3" s="10">
        <v>5.7999999999999996E-3</v>
      </c>
      <c r="I3" s="9">
        <v>371</v>
      </c>
      <c r="J3" s="12">
        <v>1704600</v>
      </c>
    </row>
    <row r="4" spans="1:10" ht="15" customHeight="1" x14ac:dyDescent="0.2">
      <c r="A4" s="3" t="s">
        <v>44</v>
      </c>
      <c r="B4" s="4">
        <v>12100</v>
      </c>
      <c r="C4" s="4">
        <v>11200</v>
      </c>
      <c r="D4" s="4">
        <v>15340</v>
      </c>
      <c r="E4" s="5">
        <v>0.20100000000000001</v>
      </c>
      <c r="F4" s="6">
        <v>3.9</v>
      </c>
      <c r="G4" s="4">
        <v>118</v>
      </c>
      <c r="H4" s="5">
        <v>2.8E-3</v>
      </c>
      <c r="I4" s="4">
        <v>43</v>
      </c>
      <c r="J4" s="7">
        <v>188900</v>
      </c>
    </row>
    <row r="5" spans="1:10" ht="15" customHeight="1" x14ac:dyDescent="0.2">
      <c r="A5" s="8" t="s">
        <v>45</v>
      </c>
      <c r="B5" s="9">
        <v>28900</v>
      </c>
      <c r="C5" s="9">
        <v>26100</v>
      </c>
      <c r="D5" s="9">
        <v>33400</v>
      </c>
      <c r="E5" s="10">
        <v>0.13100000000000001</v>
      </c>
      <c r="F5" s="11">
        <v>4.5999999999999996</v>
      </c>
      <c r="G5" s="9">
        <v>131</v>
      </c>
      <c r="H5" s="10">
        <v>3.5000000000000001E-3</v>
      </c>
      <c r="I5" s="9">
        <v>117</v>
      </c>
      <c r="J5" s="12">
        <v>478200</v>
      </c>
    </row>
    <row r="6" spans="1:10" ht="15" customHeight="1" x14ac:dyDescent="0.2">
      <c r="A6" s="3" t="s">
        <v>46</v>
      </c>
      <c r="B6" s="4">
        <v>9800</v>
      </c>
      <c r="C6" s="4">
        <v>9100</v>
      </c>
      <c r="D6" s="4">
        <v>11200</v>
      </c>
      <c r="E6" s="5">
        <v>0.33200000000000002</v>
      </c>
      <c r="F6" s="6">
        <v>2.2000000000000002</v>
      </c>
      <c r="G6" s="4">
        <v>48</v>
      </c>
      <c r="H6" s="5">
        <v>8.9999999999999998E-4</v>
      </c>
      <c r="I6" s="4">
        <v>10</v>
      </c>
      <c r="J6" s="7">
        <v>38900</v>
      </c>
    </row>
    <row r="7" spans="1:10" ht="15" customHeight="1" x14ac:dyDescent="0.2">
      <c r="A7" s="8" t="s">
        <v>47</v>
      </c>
      <c r="B7" s="9">
        <v>31200</v>
      </c>
      <c r="C7" s="9">
        <v>29800</v>
      </c>
      <c r="D7" s="9">
        <v>37600</v>
      </c>
      <c r="E7" s="10">
        <v>0.28899999999999998</v>
      </c>
      <c r="F7" s="11">
        <v>3.4</v>
      </c>
      <c r="G7" s="9">
        <v>91</v>
      </c>
      <c r="H7" s="10">
        <v>1.9E-3</v>
      </c>
      <c r="I7" s="9">
        <v>71</v>
      </c>
      <c r="J7" s="12">
        <v>278900</v>
      </c>
    </row>
    <row r="8" spans="1:10" ht="15" customHeight="1" x14ac:dyDescent="0.2">
      <c r="A8" s="3" t="s">
        <v>48</v>
      </c>
      <c r="B8" s="4">
        <v>10300</v>
      </c>
      <c r="C8" s="4">
        <v>9600</v>
      </c>
      <c r="D8" s="4">
        <v>12100</v>
      </c>
      <c r="E8" s="5">
        <v>0.254</v>
      </c>
      <c r="F8" s="6">
        <v>3.9</v>
      </c>
      <c r="G8" s="4">
        <v>104</v>
      </c>
      <c r="H8" s="5">
        <v>2.8E-3</v>
      </c>
      <c r="I8" s="4">
        <v>34</v>
      </c>
      <c r="J8" s="7">
        <v>148100</v>
      </c>
    </row>
    <row r="9" spans="1:10" ht="15" customHeight="1" x14ac:dyDescent="0.2">
      <c r="A9" s="8" t="s">
        <v>49</v>
      </c>
      <c r="B9" s="9">
        <v>5900</v>
      </c>
      <c r="C9" s="9">
        <v>5500</v>
      </c>
      <c r="D9" s="9">
        <v>6900</v>
      </c>
      <c r="E9" s="10">
        <v>0.36099999999999999</v>
      </c>
      <c r="F9" s="11">
        <v>3.1</v>
      </c>
      <c r="G9" s="9">
        <v>77</v>
      </c>
      <c r="H9" s="10">
        <v>1.2999999999999999E-3</v>
      </c>
      <c r="I9" s="9">
        <v>9</v>
      </c>
      <c r="J9" s="12">
        <v>38700</v>
      </c>
    </row>
    <row r="10" spans="1:10" ht="15" customHeight="1" x14ac:dyDescent="0.2">
      <c r="A10" s="3" t="s">
        <v>50</v>
      </c>
      <c r="B10" s="4">
        <v>2100</v>
      </c>
      <c r="C10" s="4">
        <v>1900</v>
      </c>
      <c r="D10" s="4">
        <v>2600</v>
      </c>
      <c r="E10" s="5">
        <v>0.22600000000000001</v>
      </c>
      <c r="F10" s="6">
        <v>4.5999999999999996</v>
      </c>
      <c r="G10" s="4">
        <v>143</v>
      </c>
      <c r="H10" s="5">
        <v>3.0999999999999999E-3</v>
      </c>
      <c r="I10" s="4">
        <v>8</v>
      </c>
      <c r="J10" s="7">
        <v>31200</v>
      </c>
    </row>
    <row r="11" spans="1:10" ht="15" customHeight="1" x14ac:dyDescent="0.2">
      <c r="A11" s="8" t="s">
        <v>51</v>
      </c>
      <c r="B11" s="9">
        <v>680</v>
      </c>
      <c r="C11" s="9">
        <v>610</v>
      </c>
      <c r="D11" s="9">
        <v>910</v>
      </c>
      <c r="E11" s="10">
        <v>0.19800000000000001</v>
      </c>
      <c r="F11" s="11">
        <v>5.8</v>
      </c>
      <c r="G11" s="9">
        <v>201</v>
      </c>
      <c r="H11" s="10">
        <v>3.3000000000000002E-2</v>
      </c>
      <c r="I11" s="9">
        <v>30</v>
      </c>
      <c r="J11" s="12">
        <v>173900</v>
      </c>
    </row>
    <row r="12" spans="1:10" ht="15" customHeight="1" x14ac:dyDescent="0.2">
      <c r="A12" s="3" t="s">
        <v>52</v>
      </c>
      <c r="B12" s="4">
        <v>540</v>
      </c>
      <c r="C12" s="4">
        <v>490</v>
      </c>
      <c r="D12" s="4">
        <v>720</v>
      </c>
      <c r="E12" s="5">
        <v>0.215</v>
      </c>
      <c r="F12" s="6">
        <v>5.3</v>
      </c>
      <c r="G12" s="4">
        <v>188</v>
      </c>
      <c r="H12" s="5">
        <v>2.9000000000000001E-2</v>
      </c>
      <c r="I12" s="4">
        <v>21</v>
      </c>
      <c r="J12" s="7">
        <v>118400</v>
      </c>
    </row>
    <row r="13" spans="1:10" ht="15" customHeight="1" x14ac:dyDescent="0.2">
      <c r="A13" s="8" t="s">
        <v>53</v>
      </c>
      <c r="B13" s="9">
        <v>410</v>
      </c>
      <c r="C13" s="9">
        <v>370</v>
      </c>
      <c r="D13" s="9">
        <v>560</v>
      </c>
      <c r="E13" s="10">
        <v>0.24399999999999999</v>
      </c>
      <c r="F13" s="11">
        <v>4.9000000000000004</v>
      </c>
      <c r="G13" s="9">
        <v>175</v>
      </c>
      <c r="H13" s="10">
        <v>2.5000000000000001E-2</v>
      </c>
      <c r="I13" s="9">
        <v>14</v>
      </c>
      <c r="J13" s="12">
        <v>79300</v>
      </c>
    </row>
    <row r="14" spans="1:10" ht="15" customHeight="1" x14ac:dyDescent="0.2">
      <c r="A14" s="3" t="s">
        <v>54</v>
      </c>
      <c r="B14" s="4">
        <v>390</v>
      </c>
      <c r="C14" s="4">
        <v>350</v>
      </c>
      <c r="D14" s="4">
        <v>540</v>
      </c>
      <c r="E14" s="5">
        <v>0.26100000000000001</v>
      </c>
      <c r="F14" s="6">
        <v>5.0999999999999996</v>
      </c>
      <c r="G14" s="4">
        <v>179</v>
      </c>
      <c r="H14" s="5">
        <v>2.1999999999999999E-2</v>
      </c>
      <c r="I14" s="4">
        <v>12</v>
      </c>
      <c r="J14" s="7">
        <v>66800</v>
      </c>
    </row>
    <row r="15" spans="1:10" ht="15" customHeight="1" x14ac:dyDescent="0.2">
      <c r="A15" s="8" t="s">
        <v>55</v>
      </c>
      <c r="B15" s="9">
        <v>720</v>
      </c>
      <c r="C15" s="9">
        <v>650</v>
      </c>
      <c r="D15" s="9">
        <v>980</v>
      </c>
      <c r="E15" s="10">
        <v>0.28899999999999998</v>
      </c>
      <c r="F15" s="11">
        <v>4.2</v>
      </c>
      <c r="G15" s="9">
        <v>132</v>
      </c>
      <c r="H15" s="10">
        <v>1.4E-2</v>
      </c>
      <c r="I15" s="9">
        <v>14</v>
      </c>
      <c r="J15" s="12">
        <v>79300</v>
      </c>
    </row>
    <row r="16" spans="1:10" ht="15" customHeight="1" x14ac:dyDescent="0.2">
      <c r="A16" s="3" t="s">
        <v>56</v>
      </c>
      <c r="B16" s="4">
        <v>260</v>
      </c>
      <c r="C16" s="4">
        <v>230</v>
      </c>
      <c r="D16" s="4">
        <v>360</v>
      </c>
      <c r="E16" s="5">
        <v>0.23300000000000001</v>
      </c>
      <c r="F16" s="6">
        <v>5.6</v>
      </c>
      <c r="G16" s="4">
        <v>196</v>
      </c>
      <c r="H16" s="5">
        <v>3.3000000000000002E-2</v>
      </c>
      <c r="I16" s="4">
        <v>12</v>
      </c>
      <c r="J16" s="7">
        <v>68900</v>
      </c>
    </row>
    <row r="17" spans="1:10" ht="15" customHeight="1" x14ac:dyDescent="0.2">
      <c r="A17" s="8" t="s">
        <v>57</v>
      </c>
      <c r="B17" s="9">
        <v>18900</v>
      </c>
      <c r="C17" s="9">
        <v>17600</v>
      </c>
      <c r="D17" s="9">
        <v>22400</v>
      </c>
      <c r="E17" s="10">
        <v>0.16900000000000001</v>
      </c>
      <c r="F17" s="11">
        <v>4</v>
      </c>
      <c r="G17" s="9">
        <v>128</v>
      </c>
      <c r="H17" s="10">
        <v>3.8E-3</v>
      </c>
      <c r="I17" s="9">
        <v>85</v>
      </c>
      <c r="J17" s="12">
        <v>372300</v>
      </c>
    </row>
    <row r="18" spans="1:10" ht="15" customHeight="1" x14ac:dyDescent="0.2">
      <c r="A18" s="3" t="s">
        <v>58</v>
      </c>
      <c r="B18" s="4">
        <v>650</v>
      </c>
      <c r="C18" s="4">
        <v>620</v>
      </c>
      <c r="D18" s="4">
        <v>1140</v>
      </c>
      <c r="E18" s="5">
        <v>9.1999999999999998E-2</v>
      </c>
      <c r="F18" s="6">
        <v>8.6999999999999993</v>
      </c>
      <c r="G18" s="4">
        <v>340</v>
      </c>
      <c r="H18" s="5">
        <v>1.0999999999999999E-2</v>
      </c>
      <c r="I18" s="4">
        <v>13</v>
      </c>
      <c r="J18" s="7">
        <v>71200</v>
      </c>
    </row>
    <row r="19" spans="1:10" ht="15" customHeight="1" x14ac:dyDescent="0.2">
      <c r="A19" s="8" t="s">
        <v>59</v>
      </c>
      <c r="B19" s="9">
        <v>2400</v>
      </c>
      <c r="C19" s="9">
        <v>2200</v>
      </c>
      <c r="D19" s="9">
        <v>3100</v>
      </c>
      <c r="E19" s="10">
        <v>0.22800000000000001</v>
      </c>
      <c r="F19" s="11">
        <v>3.7</v>
      </c>
      <c r="G19" s="9">
        <v>109</v>
      </c>
      <c r="H19" s="10">
        <v>2.5999999999999999E-3</v>
      </c>
      <c r="I19" s="9">
        <v>8</v>
      </c>
      <c r="J19" s="12">
        <v>34900</v>
      </c>
    </row>
    <row r="20" spans="1:10" ht="15" customHeight="1" x14ac:dyDescent="0.2">
      <c r="A20" s="3" t="s">
        <v>60</v>
      </c>
      <c r="B20" s="4">
        <v>410</v>
      </c>
      <c r="C20" s="4">
        <v>380</v>
      </c>
      <c r="D20" s="4">
        <v>530</v>
      </c>
      <c r="E20" s="5">
        <v>0.187</v>
      </c>
      <c r="F20" s="6">
        <v>4.0999999999999996</v>
      </c>
      <c r="G20" s="4">
        <v>122</v>
      </c>
      <c r="H20" s="5">
        <v>3.8E-3</v>
      </c>
      <c r="I20" s="4">
        <v>2</v>
      </c>
      <c r="J20" s="7">
        <v>8900</v>
      </c>
    </row>
    <row r="21" spans="1:10" ht="15" customHeight="1" x14ac:dyDescent="0.2">
      <c r="A21" s="8" t="s">
        <v>61</v>
      </c>
      <c r="B21" s="9">
        <v>1900</v>
      </c>
      <c r="C21" s="9">
        <v>1700</v>
      </c>
      <c r="D21" s="9">
        <v>2650</v>
      </c>
      <c r="E21" s="10">
        <v>0.30499999999999999</v>
      </c>
      <c r="F21" s="11">
        <v>3.3</v>
      </c>
      <c r="G21" s="9">
        <v>95</v>
      </c>
      <c r="H21" s="10">
        <v>6.7999999999999996E-3</v>
      </c>
      <c r="I21" s="9">
        <v>18</v>
      </c>
      <c r="J21" s="12">
        <v>85200</v>
      </c>
    </row>
    <row r="22" spans="1:10" ht="15" customHeight="1" x14ac:dyDescent="0.2">
      <c r="A22" s="13" t="s">
        <v>62</v>
      </c>
      <c r="B22" s="14">
        <f>SUM(B2:B21)</f>
        <v>270260</v>
      </c>
      <c r="C22" s="14">
        <f>SUM(C2:C21)</f>
        <v>260700</v>
      </c>
      <c r="D22" s="14">
        <f>SUM(D2:D21)</f>
        <v>339510</v>
      </c>
      <c r="E22" s="15"/>
      <c r="F22" s="16"/>
      <c r="G22" s="14"/>
      <c r="H22" s="15"/>
      <c r="I22" s="14">
        <f>SUM(I2:I21)</f>
        <v>1435</v>
      </c>
      <c r="J22" s="17">
        <f>SUM(J2:J21)</f>
        <v>6478700</v>
      </c>
    </row>
    <row r="24" spans="1:10" ht="29" customHeight="1" x14ac:dyDescent="0.2">
      <c r="A24" s="110" t="s">
        <v>63</v>
      </c>
      <c r="B24" s="110"/>
      <c r="C24" s="110"/>
      <c r="D24" s="110"/>
      <c r="E24" s="110"/>
      <c r="F24" s="110"/>
      <c r="G24" s="110"/>
      <c r="H24" s="110"/>
      <c r="I24" s="110"/>
      <c r="J24" s="110"/>
    </row>
  </sheetData>
  <mergeCells count="1">
    <mergeCell ref="A24:J2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7"/>
  <sheetViews>
    <sheetView zoomScaleNormal="100" workbookViewId="0">
      <pane ySplit="1" topLeftCell="A2" activePane="bottomLeft" state="frozen"/>
      <selection pane="bottomLeft" activeCell="B13" sqref="B13"/>
    </sheetView>
  </sheetViews>
  <sheetFormatPr baseColWidth="10" defaultColWidth="8.6640625" defaultRowHeight="15" x14ac:dyDescent="0.2"/>
  <cols>
    <col min="1" max="1" width="38" customWidth="1"/>
    <col min="2" max="2" width="14" customWidth="1"/>
    <col min="3" max="3" width="20" customWidth="1"/>
  </cols>
  <sheetData>
    <row r="1" spans="1:3" ht="15" customHeight="1" x14ac:dyDescent="0.2">
      <c r="A1" s="2" t="s">
        <v>64</v>
      </c>
      <c r="B1" s="2" t="s">
        <v>65</v>
      </c>
      <c r="C1" s="2" t="s">
        <v>66</v>
      </c>
    </row>
    <row r="2" spans="1:3" ht="15" customHeight="1" x14ac:dyDescent="0.2">
      <c r="A2" s="3" t="s">
        <v>67</v>
      </c>
      <c r="B2" s="4">
        <v>212</v>
      </c>
      <c r="C2" s="7">
        <v>1084300</v>
      </c>
    </row>
    <row r="3" spans="1:3" ht="15" customHeight="1" x14ac:dyDescent="0.2">
      <c r="A3" s="8" t="s">
        <v>68</v>
      </c>
      <c r="B3" s="9">
        <v>96</v>
      </c>
      <c r="C3" s="12">
        <v>612800</v>
      </c>
    </row>
    <row r="4" spans="1:3" ht="15" customHeight="1" x14ac:dyDescent="0.2">
      <c r="A4" s="3" t="s">
        <v>69</v>
      </c>
      <c r="B4" s="4">
        <v>158</v>
      </c>
      <c r="C4" s="7">
        <v>498100</v>
      </c>
    </row>
    <row r="5" spans="1:3" ht="15" customHeight="1" x14ac:dyDescent="0.2">
      <c r="A5" s="8" t="s">
        <v>70</v>
      </c>
      <c r="B5" s="9">
        <v>74</v>
      </c>
      <c r="C5" s="12">
        <v>201900</v>
      </c>
    </row>
    <row r="6" spans="1:3" ht="15" customHeight="1" x14ac:dyDescent="0.2">
      <c r="A6" s="3" t="s">
        <v>71</v>
      </c>
      <c r="B6" s="4">
        <v>61</v>
      </c>
      <c r="C6" s="7">
        <v>318400</v>
      </c>
    </row>
    <row r="7" spans="1:3" ht="15" customHeight="1" x14ac:dyDescent="0.2">
      <c r="A7" s="8" t="s">
        <v>72</v>
      </c>
      <c r="B7" s="9">
        <v>58</v>
      </c>
      <c r="C7" s="12">
        <v>142300</v>
      </c>
    </row>
    <row r="8" spans="1:3" ht="15" customHeight="1" x14ac:dyDescent="0.2">
      <c r="A8" s="3" t="s">
        <v>73</v>
      </c>
      <c r="B8" s="4">
        <v>41</v>
      </c>
      <c r="C8" s="7">
        <v>109800</v>
      </c>
    </row>
    <row r="9" spans="1:3" ht="15" customHeight="1" x14ac:dyDescent="0.2">
      <c r="A9" s="8" t="s">
        <v>74</v>
      </c>
      <c r="B9" s="9">
        <v>37</v>
      </c>
      <c r="C9" s="12">
        <v>68900</v>
      </c>
    </row>
    <row r="10" spans="1:3" ht="15" customHeight="1" x14ac:dyDescent="0.2">
      <c r="A10" s="3" t="s">
        <v>75</v>
      </c>
      <c r="B10" s="4">
        <v>33</v>
      </c>
      <c r="C10" s="7">
        <v>101200</v>
      </c>
    </row>
    <row r="11" spans="1:3" ht="15" customHeight="1" x14ac:dyDescent="0.2">
      <c r="A11" s="8" t="s">
        <v>76</v>
      </c>
      <c r="B11" s="9">
        <v>29</v>
      </c>
      <c r="C11" s="12">
        <v>61400</v>
      </c>
    </row>
    <row r="12" spans="1:3" ht="15" customHeight="1" x14ac:dyDescent="0.2">
      <c r="A12" s="3" t="s">
        <v>77</v>
      </c>
      <c r="B12" s="4">
        <v>24</v>
      </c>
      <c r="C12" s="7">
        <v>188900</v>
      </c>
    </row>
    <row r="13" spans="1:3" ht="15" customHeight="1" x14ac:dyDescent="0.2">
      <c r="A13" s="8" t="s">
        <v>78</v>
      </c>
      <c r="B13" s="9">
        <v>19</v>
      </c>
      <c r="C13" s="12">
        <v>38900</v>
      </c>
    </row>
    <row r="14" spans="1:3" ht="15" customHeight="1" x14ac:dyDescent="0.2">
      <c r="A14" s="3" t="s">
        <v>79</v>
      </c>
      <c r="B14" s="4">
        <v>14</v>
      </c>
      <c r="C14" s="7">
        <v>61200</v>
      </c>
    </row>
    <row r="15" spans="1:3" ht="15" customHeight="1" x14ac:dyDescent="0.2">
      <c r="A15" s="8" t="s">
        <v>80</v>
      </c>
      <c r="B15" s="9">
        <v>11</v>
      </c>
      <c r="C15" s="12">
        <v>19800</v>
      </c>
    </row>
    <row r="16" spans="1:3" ht="15" customHeight="1" x14ac:dyDescent="0.2">
      <c r="A16" s="3" t="s">
        <v>81</v>
      </c>
      <c r="B16" s="4">
        <v>9</v>
      </c>
      <c r="C16" s="7">
        <v>28400</v>
      </c>
    </row>
    <row r="17" spans="1:3" ht="15" customHeight="1" x14ac:dyDescent="0.2">
      <c r="A17" s="13" t="s">
        <v>36</v>
      </c>
      <c r="B17" s="14">
        <f>SUM(B2:B16)</f>
        <v>876</v>
      </c>
      <c r="C17" s="17">
        <f>SUM(C2:C16)</f>
        <v>3536300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
  <sheetViews>
    <sheetView zoomScaleNormal="100" workbookViewId="0">
      <pane ySplit="1" topLeftCell="A2" activePane="bottomLeft" state="frozen"/>
      <selection pane="bottomLeft" activeCell="J4" sqref="J4"/>
    </sheetView>
  </sheetViews>
  <sheetFormatPr baseColWidth="10" defaultColWidth="8.6640625" defaultRowHeight="15" x14ac:dyDescent="0.2"/>
  <cols>
    <col min="1" max="2" width="10" customWidth="1"/>
    <col min="3" max="4" width="11" customWidth="1"/>
    <col min="5" max="5" width="12" customWidth="1"/>
    <col min="6" max="6" width="15" customWidth="1"/>
    <col min="7" max="7" width="20" customWidth="1"/>
    <col min="8" max="8" width="13" customWidth="1"/>
    <col min="9" max="9" width="14" customWidth="1"/>
    <col min="10" max="10" width="20" customWidth="1"/>
  </cols>
  <sheetData>
    <row r="1" spans="1:10" ht="27.75" customHeight="1" x14ac:dyDescent="0.2">
      <c r="A1" s="2" t="s">
        <v>82</v>
      </c>
      <c r="B1" s="2" t="s">
        <v>39</v>
      </c>
      <c r="C1" s="2" t="s">
        <v>21</v>
      </c>
      <c r="D1" s="2" t="s">
        <v>22</v>
      </c>
      <c r="E1" s="2" t="s">
        <v>23</v>
      </c>
      <c r="F1" s="2" t="s">
        <v>24</v>
      </c>
      <c r="G1" s="2" t="s">
        <v>25</v>
      </c>
      <c r="H1" s="2" t="s">
        <v>27</v>
      </c>
      <c r="I1" s="2" t="s">
        <v>28</v>
      </c>
      <c r="J1" s="2" t="s">
        <v>26</v>
      </c>
    </row>
    <row r="2" spans="1:10" ht="15" customHeight="1" x14ac:dyDescent="0.2">
      <c r="A2" s="3" t="s">
        <v>83</v>
      </c>
      <c r="B2" s="4">
        <v>12100</v>
      </c>
      <c r="C2" s="4">
        <v>11400</v>
      </c>
      <c r="D2" s="4">
        <v>15800</v>
      </c>
      <c r="E2" s="5">
        <v>0.29599999999999999</v>
      </c>
      <c r="F2" s="6">
        <v>3.1</v>
      </c>
      <c r="G2" s="4">
        <v>88</v>
      </c>
      <c r="H2" s="4">
        <v>22</v>
      </c>
      <c r="I2" s="7">
        <v>79400</v>
      </c>
      <c r="J2" s="5">
        <v>1.4E-3</v>
      </c>
    </row>
    <row r="3" spans="1:10" ht="15" customHeight="1" x14ac:dyDescent="0.2">
      <c r="A3" s="8" t="s">
        <v>84</v>
      </c>
      <c r="B3" s="9">
        <v>41200</v>
      </c>
      <c r="C3" s="9">
        <v>37600</v>
      </c>
      <c r="D3" s="9">
        <v>51900</v>
      </c>
      <c r="E3" s="10">
        <v>0.20100000000000001</v>
      </c>
      <c r="F3" s="11">
        <v>3.9</v>
      </c>
      <c r="G3" s="9">
        <v>118</v>
      </c>
      <c r="H3" s="9">
        <v>214</v>
      </c>
      <c r="I3" s="12">
        <v>842100</v>
      </c>
      <c r="J3" s="10">
        <v>4.1000000000000003E-3</v>
      </c>
    </row>
    <row r="4" spans="1:10" ht="15" customHeight="1" x14ac:dyDescent="0.2">
      <c r="A4" s="3" t="s">
        <v>85</v>
      </c>
      <c r="B4" s="4">
        <v>68900</v>
      </c>
      <c r="C4" s="4">
        <v>61300</v>
      </c>
      <c r="D4" s="4">
        <v>84600</v>
      </c>
      <c r="E4" s="5">
        <v>0.14199999999999999</v>
      </c>
      <c r="F4" s="6">
        <v>4.8</v>
      </c>
      <c r="G4" s="4">
        <v>168</v>
      </c>
      <c r="H4" s="4">
        <v>611</v>
      </c>
      <c r="I4" s="7">
        <v>2988700</v>
      </c>
      <c r="J4" s="5">
        <v>7.1999999999999998E-3</v>
      </c>
    </row>
    <row r="5" spans="1:10" ht="15" customHeight="1" x14ac:dyDescent="0.2">
      <c r="A5" s="8" t="s">
        <v>86</v>
      </c>
      <c r="B5" s="9">
        <v>52700</v>
      </c>
      <c r="C5" s="9">
        <v>46100</v>
      </c>
      <c r="D5" s="9">
        <v>63200</v>
      </c>
      <c r="E5" s="10">
        <v>0.155</v>
      </c>
      <c r="F5" s="11">
        <v>4.5999999999999996</v>
      </c>
      <c r="G5" s="9">
        <v>159</v>
      </c>
      <c r="H5" s="9">
        <v>448</v>
      </c>
      <c r="I5" s="12">
        <v>2211900</v>
      </c>
      <c r="J5" s="10">
        <v>7.1000000000000004E-3</v>
      </c>
    </row>
    <row r="6" spans="1:10" ht="15" customHeight="1" x14ac:dyDescent="0.2">
      <c r="A6" s="3" t="s">
        <v>87</v>
      </c>
      <c r="B6" s="4">
        <v>18400</v>
      </c>
      <c r="C6" s="4">
        <v>16200</v>
      </c>
      <c r="D6" s="4">
        <v>22300</v>
      </c>
      <c r="E6" s="5">
        <v>0.17799999999999999</v>
      </c>
      <c r="F6" s="6">
        <v>4.2</v>
      </c>
      <c r="G6" s="4">
        <v>141</v>
      </c>
      <c r="H6" s="4">
        <v>121</v>
      </c>
      <c r="I6" s="7">
        <v>598400</v>
      </c>
      <c r="J6" s="5">
        <v>5.4000000000000003E-3</v>
      </c>
    </row>
    <row r="7" spans="1:10" ht="15" customHeight="1" x14ac:dyDescent="0.2">
      <c r="A7" s="8" t="s">
        <v>88</v>
      </c>
      <c r="B7" s="9">
        <v>6200</v>
      </c>
      <c r="C7" s="9">
        <v>5500</v>
      </c>
      <c r="D7" s="9">
        <v>7600</v>
      </c>
      <c r="E7" s="10">
        <v>0.19900000000000001</v>
      </c>
      <c r="F7" s="11">
        <v>3.7</v>
      </c>
      <c r="G7" s="9">
        <v>122</v>
      </c>
      <c r="H7" s="9">
        <v>33</v>
      </c>
      <c r="I7" s="12">
        <v>158700</v>
      </c>
      <c r="J7" s="10">
        <v>4.3E-3</v>
      </c>
    </row>
    <row r="8" spans="1:10" ht="15" customHeight="1" x14ac:dyDescent="0.2">
      <c r="A8" s="13" t="s">
        <v>36</v>
      </c>
      <c r="B8" s="14">
        <f>SUM(B2:B7)</f>
        <v>199500</v>
      </c>
      <c r="C8" s="14">
        <f>SUM(C2:C7)</f>
        <v>178100</v>
      </c>
      <c r="D8" s="14">
        <f>SUM(D2:D7)</f>
        <v>245400</v>
      </c>
      <c r="E8" s="15"/>
      <c r="F8" s="16"/>
      <c r="G8" s="14"/>
      <c r="H8" s="14">
        <f>SUM(H2:H7)</f>
        <v>1449</v>
      </c>
      <c r="I8" s="17">
        <f>SUM(I2:I7)</f>
        <v>6879200</v>
      </c>
      <c r="J8" s="15"/>
    </row>
    <row r="10" spans="1:10" ht="45" customHeight="1" x14ac:dyDescent="0.2">
      <c r="A10" s="109" t="s">
        <v>89</v>
      </c>
      <c r="B10" s="109"/>
      <c r="C10" s="109"/>
      <c r="D10" s="109"/>
      <c r="E10" s="109"/>
      <c r="F10" s="109"/>
      <c r="G10" s="109"/>
      <c r="H10" s="109"/>
      <c r="I10" s="109"/>
      <c r="J10" s="109"/>
    </row>
  </sheetData>
  <mergeCells count="1">
    <mergeCell ref="A10:J1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3"/>
  <sheetViews>
    <sheetView zoomScaleNormal="100" workbookViewId="0">
      <pane ySplit="1" topLeftCell="A2" activePane="bottomLeft" state="frozen"/>
      <selection pane="bottomLeft"/>
    </sheetView>
  </sheetViews>
  <sheetFormatPr baseColWidth="10" defaultColWidth="8.6640625" defaultRowHeight="15" x14ac:dyDescent="0.2"/>
  <cols>
    <col min="1" max="1" width="12" customWidth="1"/>
    <col min="2" max="2" width="10" customWidth="1"/>
    <col min="3" max="4" width="11" customWidth="1"/>
    <col min="5" max="5" width="12" customWidth="1"/>
    <col min="6" max="6" width="15" customWidth="1"/>
    <col min="7" max="7" width="20" customWidth="1"/>
    <col min="8" max="8" width="13" customWidth="1"/>
    <col min="9" max="9" width="14" customWidth="1"/>
    <col min="10" max="10" width="20" customWidth="1"/>
  </cols>
  <sheetData>
    <row r="1" spans="1:10" ht="27.75" customHeight="1" x14ac:dyDescent="0.2">
      <c r="A1" s="2" t="s">
        <v>90</v>
      </c>
      <c r="B1" s="2" t="s">
        <v>39</v>
      </c>
      <c r="C1" s="2" t="s">
        <v>21</v>
      </c>
      <c r="D1" s="2" t="s">
        <v>22</v>
      </c>
      <c r="E1" s="2" t="s">
        <v>23</v>
      </c>
      <c r="F1" s="2" t="s">
        <v>24</v>
      </c>
      <c r="G1" s="2" t="s">
        <v>25</v>
      </c>
      <c r="H1" s="2" t="s">
        <v>27</v>
      </c>
      <c r="I1" s="2" t="s">
        <v>28</v>
      </c>
      <c r="J1" s="2" t="s">
        <v>26</v>
      </c>
    </row>
    <row r="2" spans="1:10" ht="15" customHeight="1" x14ac:dyDescent="0.2">
      <c r="A2" s="3" t="s">
        <v>91</v>
      </c>
      <c r="B2" s="4">
        <v>44200</v>
      </c>
      <c r="C2" s="4">
        <v>39800</v>
      </c>
      <c r="D2" s="4">
        <v>55100</v>
      </c>
      <c r="E2" s="5">
        <v>0.16800000000000001</v>
      </c>
      <c r="F2" s="6">
        <v>4.3</v>
      </c>
      <c r="G2" s="4">
        <v>148</v>
      </c>
      <c r="H2" s="4">
        <v>298</v>
      </c>
      <c r="I2" s="7">
        <v>1489200</v>
      </c>
      <c r="J2" s="5">
        <v>5.4000000000000003E-3</v>
      </c>
    </row>
    <row r="3" spans="1:10" ht="15" customHeight="1" x14ac:dyDescent="0.2">
      <c r="A3" s="8" t="s">
        <v>92</v>
      </c>
      <c r="B3" s="9">
        <v>61300</v>
      </c>
      <c r="C3" s="9">
        <v>54900</v>
      </c>
      <c r="D3" s="9">
        <v>76200</v>
      </c>
      <c r="E3" s="10">
        <v>0.14899999999999999</v>
      </c>
      <c r="F3" s="11">
        <v>4.7</v>
      </c>
      <c r="G3" s="9">
        <v>162</v>
      </c>
      <c r="H3" s="9">
        <v>501</v>
      </c>
      <c r="I3" s="12">
        <v>2601800</v>
      </c>
      <c r="J3" s="10">
        <v>6.6E-3</v>
      </c>
    </row>
    <row r="4" spans="1:10" ht="15" customHeight="1" x14ac:dyDescent="0.2">
      <c r="A4" s="3" t="s">
        <v>93</v>
      </c>
      <c r="B4" s="4">
        <v>38900</v>
      </c>
      <c r="C4" s="4">
        <v>34600</v>
      </c>
      <c r="D4" s="4">
        <v>48300</v>
      </c>
      <c r="E4" s="5">
        <v>0.17699999999999999</v>
      </c>
      <c r="F4" s="6">
        <v>4.0999999999999996</v>
      </c>
      <c r="G4" s="4">
        <v>139</v>
      </c>
      <c r="H4" s="4">
        <v>241</v>
      </c>
      <c r="I4" s="7">
        <v>1198700</v>
      </c>
      <c r="J4" s="5">
        <v>5.0000000000000001E-3</v>
      </c>
    </row>
    <row r="5" spans="1:10" ht="15" customHeight="1" x14ac:dyDescent="0.2">
      <c r="A5" s="8" t="s">
        <v>94</v>
      </c>
      <c r="B5" s="9">
        <v>9600</v>
      </c>
      <c r="C5" s="9">
        <v>8500</v>
      </c>
      <c r="D5" s="9">
        <v>11900</v>
      </c>
      <c r="E5" s="10">
        <v>0.221</v>
      </c>
      <c r="F5" s="11">
        <v>3.6</v>
      </c>
      <c r="G5" s="9">
        <v>112</v>
      </c>
      <c r="H5" s="9">
        <v>38</v>
      </c>
      <c r="I5" s="12">
        <v>168900</v>
      </c>
      <c r="J5" s="10">
        <v>3.2000000000000002E-3</v>
      </c>
    </row>
    <row r="6" spans="1:10" ht="15" customHeight="1" x14ac:dyDescent="0.2">
      <c r="A6" s="3" t="s">
        <v>94</v>
      </c>
      <c r="B6" s="4">
        <v>1200</v>
      </c>
      <c r="C6" s="4">
        <v>1050</v>
      </c>
      <c r="D6" s="4">
        <v>1600</v>
      </c>
      <c r="E6" s="5">
        <v>0.254</v>
      </c>
      <c r="F6" s="6">
        <v>3.2</v>
      </c>
      <c r="G6" s="4">
        <v>98</v>
      </c>
      <c r="H6" s="4">
        <v>4</v>
      </c>
      <c r="I6" s="7">
        <v>19800</v>
      </c>
      <c r="J6" s="5">
        <v>2.5000000000000001E-3</v>
      </c>
    </row>
    <row r="7" spans="1:10" ht="15" customHeight="1" x14ac:dyDescent="0.2">
      <c r="A7" s="8" t="s">
        <v>95</v>
      </c>
      <c r="B7" s="9">
        <v>6800</v>
      </c>
      <c r="C7" s="9">
        <v>6000</v>
      </c>
      <c r="D7" s="9">
        <v>8400</v>
      </c>
      <c r="E7" s="10">
        <v>0.19900000000000001</v>
      </c>
      <c r="F7" s="11">
        <v>3.9</v>
      </c>
      <c r="G7" s="9">
        <v>121</v>
      </c>
      <c r="H7" s="9">
        <v>31</v>
      </c>
      <c r="I7" s="12">
        <v>142300</v>
      </c>
      <c r="J7" s="10">
        <v>3.7000000000000002E-3</v>
      </c>
    </row>
    <row r="8" spans="1:10" ht="15" customHeight="1" x14ac:dyDescent="0.2">
      <c r="A8" s="3" t="s">
        <v>96</v>
      </c>
      <c r="B8" s="4">
        <v>1400</v>
      </c>
      <c r="C8" s="4">
        <v>1250</v>
      </c>
      <c r="D8" s="4">
        <v>1800</v>
      </c>
      <c r="E8" s="5">
        <v>0.26300000000000001</v>
      </c>
      <c r="F8" s="6">
        <v>3.1</v>
      </c>
      <c r="G8" s="4">
        <v>89</v>
      </c>
      <c r="H8" s="4">
        <v>3</v>
      </c>
      <c r="I8" s="7">
        <v>12900</v>
      </c>
      <c r="J8" s="5">
        <v>1.6999999999999999E-3</v>
      </c>
    </row>
    <row r="9" spans="1:10" ht="15" customHeight="1" x14ac:dyDescent="0.2">
      <c r="A9" s="8" t="s">
        <v>97</v>
      </c>
      <c r="B9" s="9">
        <v>3700</v>
      </c>
      <c r="C9" s="9">
        <v>3200</v>
      </c>
      <c r="D9" s="9">
        <v>4600</v>
      </c>
      <c r="E9" s="10">
        <v>0.312</v>
      </c>
      <c r="F9" s="11">
        <v>2.7</v>
      </c>
      <c r="G9" s="9">
        <v>74</v>
      </c>
      <c r="H9" s="9">
        <v>11</v>
      </c>
      <c r="I9" s="12">
        <v>48900</v>
      </c>
      <c r="J9" s="10">
        <v>2.3999999999999998E-3</v>
      </c>
    </row>
    <row r="10" spans="1:10" ht="15" customHeight="1" x14ac:dyDescent="0.2">
      <c r="A10" s="3" t="s">
        <v>97</v>
      </c>
      <c r="B10" s="4">
        <v>410</v>
      </c>
      <c r="C10" s="4">
        <v>360</v>
      </c>
      <c r="D10" s="4">
        <v>540</v>
      </c>
      <c r="E10" s="5">
        <v>0.34499999999999997</v>
      </c>
      <c r="F10" s="6">
        <v>2.4</v>
      </c>
      <c r="G10" s="4">
        <v>66</v>
      </c>
      <c r="H10" s="4">
        <v>1</v>
      </c>
      <c r="I10" s="7">
        <v>4100</v>
      </c>
      <c r="J10" s="5">
        <v>1.9E-3</v>
      </c>
    </row>
    <row r="11" spans="1:10" ht="15" customHeight="1" x14ac:dyDescent="0.2">
      <c r="A11" s="13" t="s">
        <v>36</v>
      </c>
      <c r="B11" s="14">
        <f>SUM(B2:B10)</f>
        <v>167510</v>
      </c>
      <c r="C11" s="14">
        <f>SUM(C2:C10)</f>
        <v>149660</v>
      </c>
      <c r="D11" s="14">
        <f>SUM(D2:D10)</f>
        <v>208440</v>
      </c>
      <c r="E11" s="15"/>
      <c r="F11" s="16"/>
      <c r="G11" s="14"/>
      <c r="H11" s="14">
        <f>SUM(H2:H10)</f>
        <v>1128</v>
      </c>
      <c r="I11" s="17">
        <f>SUM(I2:I10)</f>
        <v>5686600</v>
      </c>
      <c r="J11" s="15"/>
    </row>
    <row r="13" spans="1:10" ht="45" customHeight="1" x14ac:dyDescent="0.2">
      <c r="A13" s="109" t="s">
        <v>98</v>
      </c>
      <c r="B13" s="109"/>
      <c r="C13" s="109"/>
      <c r="D13" s="109"/>
      <c r="E13" s="109"/>
      <c r="F13" s="109"/>
      <c r="G13" s="109"/>
      <c r="H13" s="109"/>
      <c r="I13" s="109"/>
      <c r="J13" s="109"/>
    </row>
  </sheetData>
  <mergeCells count="1">
    <mergeCell ref="A13:J1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4"/>
  <sheetViews>
    <sheetView zoomScaleNormal="100" workbookViewId="0">
      <pane ySplit="1" topLeftCell="A11" activePane="bottomLeft" state="frozen"/>
      <selection pane="bottomLeft" activeCell="O12" sqref="O12"/>
    </sheetView>
  </sheetViews>
  <sheetFormatPr baseColWidth="10" defaultColWidth="8.6640625" defaultRowHeight="15" x14ac:dyDescent="0.2"/>
  <cols>
    <col min="1" max="1" width="10" customWidth="1"/>
    <col min="2" max="2" width="20" customWidth="1"/>
    <col min="3" max="4" width="11" customWidth="1"/>
    <col min="5" max="5" width="12" customWidth="1"/>
    <col min="6" max="6" width="15" customWidth="1"/>
    <col min="7" max="7" width="20" customWidth="1"/>
    <col min="8" max="8" width="13" customWidth="1"/>
    <col min="9" max="9" width="14" customWidth="1"/>
    <col min="10" max="10" width="20" customWidth="1"/>
  </cols>
  <sheetData>
    <row r="1" spans="1:10" ht="27.75" customHeight="1" x14ac:dyDescent="0.2">
      <c r="A1" s="2" t="s">
        <v>99</v>
      </c>
      <c r="B1" s="2" t="s">
        <v>100</v>
      </c>
      <c r="C1" s="2" t="s">
        <v>21</v>
      </c>
      <c r="D1" s="2" t="s">
        <v>22</v>
      </c>
      <c r="E1" s="2" t="s">
        <v>23</v>
      </c>
      <c r="F1" s="2" t="s">
        <v>24</v>
      </c>
      <c r="G1" s="2" t="s">
        <v>25</v>
      </c>
      <c r="H1" s="2" t="s">
        <v>27</v>
      </c>
      <c r="I1" s="2" t="s">
        <v>28</v>
      </c>
      <c r="J1" s="2" t="s">
        <v>26</v>
      </c>
    </row>
    <row r="2" spans="1:10" ht="15" customHeight="1" x14ac:dyDescent="0.2">
      <c r="A2" s="3" t="s">
        <v>101</v>
      </c>
      <c r="B2" s="3" t="s">
        <v>102</v>
      </c>
      <c r="C2" s="4">
        <v>19821</v>
      </c>
      <c r="D2" s="4">
        <v>25573</v>
      </c>
      <c r="E2" s="5">
        <v>0.19009999999999999</v>
      </c>
      <c r="F2" s="6">
        <v>4.9800000000000004</v>
      </c>
      <c r="G2" s="4">
        <v>131</v>
      </c>
      <c r="H2" s="4">
        <v>227</v>
      </c>
      <c r="I2" s="7">
        <v>1713626.33</v>
      </c>
      <c r="J2" s="5">
        <v>8.8999999999999999E-3</v>
      </c>
    </row>
    <row r="3" spans="1:10" ht="15" customHeight="1" x14ac:dyDescent="0.2">
      <c r="A3" s="8" t="s">
        <v>101</v>
      </c>
      <c r="B3" s="8" t="s">
        <v>103</v>
      </c>
      <c r="C3" s="9">
        <v>16530</v>
      </c>
      <c r="D3" s="9">
        <v>22034</v>
      </c>
      <c r="E3" s="10">
        <v>0.1615</v>
      </c>
      <c r="F3" s="11">
        <v>4.5199999999999996</v>
      </c>
      <c r="G3" s="9">
        <v>185</v>
      </c>
      <c r="H3" s="9">
        <v>158</v>
      </c>
      <c r="I3" s="12">
        <v>1235583.8700000001</v>
      </c>
      <c r="J3" s="10">
        <v>7.1999999999999998E-3</v>
      </c>
    </row>
    <row r="4" spans="1:10" ht="15" customHeight="1" x14ac:dyDescent="0.2">
      <c r="A4" s="3" t="s">
        <v>101</v>
      </c>
      <c r="B4" s="3" t="s">
        <v>104</v>
      </c>
      <c r="C4" s="4">
        <v>13613</v>
      </c>
      <c r="D4" s="4">
        <v>17956</v>
      </c>
      <c r="E4" s="5">
        <v>0.16880000000000001</v>
      </c>
      <c r="F4" s="6">
        <v>4.09</v>
      </c>
      <c r="G4" s="4">
        <v>178</v>
      </c>
      <c r="H4" s="4">
        <v>129</v>
      </c>
      <c r="I4" s="7">
        <v>972090.6</v>
      </c>
      <c r="J4" s="5">
        <v>7.1999999999999998E-3</v>
      </c>
    </row>
    <row r="5" spans="1:10" ht="15" customHeight="1" x14ac:dyDescent="0.2">
      <c r="A5" s="8" t="s">
        <v>101</v>
      </c>
      <c r="B5" s="8" t="s">
        <v>105</v>
      </c>
      <c r="C5" s="9">
        <v>12444</v>
      </c>
      <c r="D5" s="9">
        <v>15220</v>
      </c>
      <c r="E5" s="10">
        <v>0.1925</v>
      </c>
      <c r="F5" s="11">
        <v>5.09</v>
      </c>
      <c r="G5" s="9">
        <v>137</v>
      </c>
      <c r="H5" s="9">
        <v>95</v>
      </c>
      <c r="I5" s="12">
        <v>417309.97</v>
      </c>
      <c r="J5" s="10">
        <v>6.3E-3</v>
      </c>
    </row>
    <row r="6" spans="1:10" ht="15" customHeight="1" x14ac:dyDescent="0.2">
      <c r="A6" s="3" t="s">
        <v>101</v>
      </c>
      <c r="B6" s="3" t="s">
        <v>106</v>
      </c>
      <c r="C6" s="4">
        <v>10060</v>
      </c>
      <c r="D6" s="4">
        <v>12660</v>
      </c>
      <c r="E6" s="5">
        <v>0.18210000000000001</v>
      </c>
      <c r="F6" s="6">
        <v>5.35</v>
      </c>
      <c r="G6" s="4">
        <v>146</v>
      </c>
      <c r="H6" s="4">
        <v>74</v>
      </c>
      <c r="I6" s="7">
        <v>463687.37</v>
      </c>
      <c r="J6" s="5">
        <v>5.8999999999999999E-3</v>
      </c>
    </row>
    <row r="7" spans="1:10" ht="15" customHeight="1" x14ac:dyDescent="0.2">
      <c r="A7" s="8" t="s">
        <v>101</v>
      </c>
      <c r="B7" s="8" t="s">
        <v>107</v>
      </c>
      <c r="C7" s="9">
        <v>8218</v>
      </c>
      <c r="D7" s="9">
        <v>10952</v>
      </c>
      <c r="E7" s="10">
        <v>0.1633</v>
      </c>
      <c r="F7" s="11">
        <v>4.32</v>
      </c>
      <c r="G7" s="9">
        <v>168</v>
      </c>
      <c r="H7" s="9">
        <v>67</v>
      </c>
      <c r="I7" s="12">
        <v>526873.53</v>
      </c>
      <c r="J7" s="10">
        <v>6.1999999999999998E-3</v>
      </c>
    </row>
    <row r="8" spans="1:10" ht="15" customHeight="1" x14ac:dyDescent="0.2">
      <c r="A8" s="3" t="s">
        <v>101</v>
      </c>
      <c r="B8" s="3" t="s">
        <v>108</v>
      </c>
      <c r="C8" s="4">
        <v>7825</v>
      </c>
      <c r="D8" s="4">
        <v>10229</v>
      </c>
      <c r="E8" s="5">
        <v>0.1883</v>
      </c>
      <c r="F8" s="6">
        <v>5.13</v>
      </c>
      <c r="G8" s="4">
        <v>150</v>
      </c>
      <c r="H8" s="4">
        <v>55</v>
      </c>
      <c r="I8" s="7">
        <v>396163.91</v>
      </c>
      <c r="J8" s="5">
        <v>5.4000000000000003E-3</v>
      </c>
    </row>
    <row r="9" spans="1:10" ht="15" customHeight="1" x14ac:dyDescent="0.2">
      <c r="A9" s="8" t="s">
        <v>101</v>
      </c>
      <c r="B9" s="8" t="s">
        <v>109</v>
      </c>
      <c r="C9" s="9">
        <v>6072</v>
      </c>
      <c r="D9" s="9">
        <v>8032</v>
      </c>
      <c r="E9" s="10">
        <v>0.1305</v>
      </c>
      <c r="F9" s="11">
        <v>5.0999999999999996</v>
      </c>
      <c r="G9" s="9">
        <v>168</v>
      </c>
      <c r="H9" s="9">
        <v>60</v>
      </c>
      <c r="I9" s="12">
        <v>458112.46</v>
      </c>
      <c r="J9" s="10">
        <v>7.4999999999999997E-3</v>
      </c>
    </row>
    <row r="10" spans="1:10" ht="15" customHeight="1" x14ac:dyDescent="0.2">
      <c r="A10" s="3" t="s">
        <v>101</v>
      </c>
      <c r="B10" s="3" t="s">
        <v>110</v>
      </c>
      <c r="C10" s="4">
        <v>2644</v>
      </c>
      <c r="D10" s="4">
        <v>3160</v>
      </c>
      <c r="E10" s="5">
        <v>0.184</v>
      </c>
      <c r="F10" s="6">
        <v>3.36</v>
      </c>
      <c r="G10" s="4">
        <v>131</v>
      </c>
      <c r="H10" s="4">
        <v>10</v>
      </c>
      <c r="I10" s="7">
        <v>57218.03</v>
      </c>
      <c r="J10" s="5">
        <v>3.3999999999999998E-3</v>
      </c>
    </row>
    <row r="11" spans="1:10" ht="15" customHeight="1" x14ac:dyDescent="0.2">
      <c r="A11" s="8" t="s">
        <v>101</v>
      </c>
      <c r="B11" s="8" t="s">
        <v>111</v>
      </c>
      <c r="C11" s="9">
        <v>2621</v>
      </c>
      <c r="D11" s="9">
        <v>3108</v>
      </c>
      <c r="E11" s="10">
        <v>0.22539999999999999</v>
      </c>
      <c r="F11" s="11">
        <v>3.98</v>
      </c>
      <c r="G11" s="9">
        <v>111</v>
      </c>
      <c r="H11" s="9">
        <v>6</v>
      </c>
      <c r="I11" s="12">
        <v>31709.03</v>
      </c>
      <c r="J11" s="10">
        <v>2.0999999999999999E-3</v>
      </c>
    </row>
    <row r="12" spans="1:10" ht="15" customHeight="1" x14ac:dyDescent="0.2">
      <c r="A12" s="3" t="s">
        <v>101</v>
      </c>
      <c r="B12" s="3" t="s">
        <v>112</v>
      </c>
      <c r="C12" s="4">
        <v>1945</v>
      </c>
      <c r="D12" s="4">
        <v>2370</v>
      </c>
      <c r="E12" s="5">
        <v>0.25530000000000003</v>
      </c>
      <c r="F12" s="6">
        <v>3.53</v>
      </c>
      <c r="G12" s="4">
        <v>98</v>
      </c>
      <c r="H12" s="4">
        <v>6</v>
      </c>
      <c r="I12" s="7">
        <v>28789.31</v>
      </c>
      <c r="J12" s="5">
        <v>2.8E-3</v>
      </c>
    </row>
    <row r="13" spans="1:10" ht="15" customHeight="1" x14ac:dyDescent="0.2">
      <c r="A13" s="8" t="s">
        <v>101</v>
      </c>
      <c r="B13" s="8" t="s">
        <v>113</v>
      </c>
      <c r="C13" s="9">
        <v>2044</v>
      </c>
      <c r="D13" s="9">
        <v>2446</v>
      </c>
      <c r="E13" s="10">
        <v>0.24840000000000001</v>
      </c>
      <c r="F13" s="11">
        <v>4.13</v>
      </c>
      <c r="G13" s="9">
        <v>117</v>
      </c>
      <c r="H13" s="9">
        <v>10</v>
      </c>
      <c r="I13" s="12">
        <v>43677.08</v>
      </c>
      <c r="J13" s="10">
        <v>4.4000000000000003E-3</v>
      </c>
    </row>
    <row r="14" spans="1:10" ht="15" customHeight="1" x14ac:dyDescent="0.2">
      <c r="A14" s="3" t="s">
        <v>101</v>
      </c>
      <c r="B14" s="3" t="s">
        <v>114</v>
      </c>
      <c r="C14" s="4">
        <v>1418</v>
      </c>
      <c r="D14" s="4">
        <v>1798</v>
      </c>
      <c r="E14" s="5">
        <v>0.2422</v>
      </c>
      <c r="F14" s="6">
        <v>3.85</v>
      </c>
      <c r="G14" s="4">
        <v>103</v>
      </c>
      <c r="H14" s="4">
        <v>6</v>
      </c>
      <c r="I14" s="7">
        <v>25907.17</v>
      </c>
      <c r="J14" s="5">
        <v>3.5000000000000001E-3</v>
      </c>
    </row>
    <row r="15" spans="1:10" ht="15" customHeight="1" x14ac:dyDescent="0.2">
      <c r="A15" s="8" t="s">
        <v>101</v>
      </c>
      <c r="B15" s="8" t="s">
        <v>115</v>
      </c>
      <c r="C15" s="9">
        <v>1649</v>
      </c>
      <c r="D15" s="9">
        <v>2000</v>
      </c>
      <c r="E15" s="10">
        <v>0.20810000000000001</v>
      </c>
      <c r="F15" s="11">
        <v>3.62</v>
      </c>
      <c r="G15" s="9">
        <v>129</v>
      </c>
      <c r="H15" s="9">
        <v>6</v>
      </c>
      <c r="I15" s="12">
        <v>24588.06</v>
      </c>
      <c r="J15" s="10">
        <v>3.0999999999999999E-3</v>
      </c>
    </row>
    <row r="16" spans="1:10" ht="15" customHeight="1" x14ac:dyDescent="0.2">
      <c r="A16" s="3" t="s">
        <v>101</v>
      </c>
      <c r="B16" s="3" t="s">
        <v>116</v>
      </c>
      <c r="C16" s="4">
        <v>1318</v>
      </c>
      <c r="D16" s="4">
        <v>1505</v>
      </c>
      <c r="E16" s="5">
        <v>0.26090000000000002</v>
      </c>
      <c r="F16" s="6">
        <v>4.18</v>
      </c>
      <c r="G16" s="4">
        <v>109</v>
      </c>
      <c r="H16" s="4">
        <v>7</v>
      </c>
      <c r="I16" s="7">
        <v>45134.27</v>
      </c>
      <c r="J16" s="5">
        <v>4.8999999999999998E-3</v>
      </c>
    </row>
    <row r="17" spans="1:10" ht="15" customHeight="1" x14ac:dyDescent="0.2">
      <c r="A17" s="8" t="s">
        <v>101</v>
      </c>
      <c r="B17" s="8" t="s">
        <v>117</v>
      </c>
      <c r="C17" s="9">
        <v>1344</v>
      </c>
      <c r="D17" s="9">
        <v>1630</v>
      </c>
      <c r="E17" s="10">
        <v>0.19719999999999999</v>
      </c>
      <c r="F17" s="11">
        <v>3.33</v>
      </c>
      <c r="G17" s="9">
        <v>144</v>
      </c>
      <c r="H17" s="9">
        <v>5</v>
      </c>
      <c r="I17" s="12">
        <v>22440.18</v>
      </c>
      <c r="J17" s="10">
        <v>3.3999999999999998E-3</v>
      </c>
    </row>
    <row r="18" spans="1:10" ht="15" customHeight="1" x14ac:dyDescent="0.2">
      <c r="A18" s="3" t="s">
        <v>101</v>
      </c>
      <c r="B18" s="3" t="s">
        <v>118</v>
      </c>
      <c r="C18" s="4">
        <v>1086</v>
      </c>
      <c r="D18" s="4">
        <v>1297</v>
      </c>
      <c r="E18" s="5">
        <v>0.18770000000000001</v>
      </c>
      <c r="F18" s="6">
        <v>4.4000000000000004</v>
      </c>
      <c r="G18" s="4">
        <v>136</v>
      </c>
      <c r="H18" s="4">
        <v>5</v>
      </c>
      <c r="I18" s="7">
        <v>26345.58</v>
      </c>
      <c r="J18" s="5">
        <v>4.1999999999999997E-3</v>
      </c>
    </row>
    <row r="19" spans="1:10" ht="15" customHeight="1" x14ac:dyDescent="0.2">
      <c r="A19" s="8" t="s">
        <v>101</v>
      </c>
      <c r="B19" s="8" t="s">
        <v>119</v>
      </c>
      <c r="C19" s="9">
        <v>1079</v>
      </c>
      <c r="D19" s="9">
        <v>1287</v>
      </c>
      <c r="E19" s="10">
        <v>0.23499999999999999</v>
      </c>
      <c r="F19" s="11">
        <v>3.32</v>
      </c>
      <c r="G19" s="9">
        <v>117</v>
      </c>
      <c r="H19" s="9">
        <v>2</v>
      </c>
      <c r="I19" s="12">
        <v>10959.14</v>
      </c>
      <c r="J19" s="10">
        <v>2.0999999999999999E-3</v>
      </c>
    </row>
    <row r="20" spans="1:10" ht="15" customHeight="1" x14ac:dyDescent="0.2">
      <c r="A20" s="3" t="s">
        <v>101</v>
      </c>
      <c r="B20" s="3" t="s">
        <v>120</v>
      </c>
      <c r="C20" s="4">
        <v>840</v>
      </c>
      <c r="D20" s="4">
        <v>1058</v>
      </c>
      <c r="E20" s="5">
        <v>0.18029999999999999</v>
      </c>
      <c r="F20" s="6">
        <v>4.0199999999999996</v>
      </c>
      <c r="G20" s="4">
        <v>104</v>
      </c>
      <c r="H20" s="4">
        <v>5</v>
      </c>
      <c r="I20" s="7">
        <v>28878.04</v>
      </c>
      <c r="J20" s="5">
        <v>4.7999999999999996E-3</v>
      </c>
    </row>
    <row r="21" spans="1:10" ht="15" customHeight="1" x14ac:dyDescent="0.2">
      <c r="A21" s="8" t="s">
        <v>101</v>
      </c>
      <c r="B21" s="8" t="s">
        <v>121</v>
      </c>
      <c r="C21" s="9">
        <v>803</v>
      </c>
      <c r="D21" s="9">
        <v>958</v>
      </c>
      <c r="E21" s="10">
        <v>0.17230000000000001</v>
      </c>
      <c r="F21" s="11">
        <v>4.54</v>
      </c>
      <c r="G21" s="9">
        <v>121</v>
      </c>
      <c r="H21" s="9">
        <v>4</v>
      </c>
      <c r="I21" s="12">
        <v>16325.13</v>
      </c>
      <c r="J21" s="10">
        <v>4.3E-3</v>
      </c>
    </row>
    <row r="22" spans="1:10" ht="15" customHeight="1" x14ac:dyDescent="0.2">
      <c r="A22" s="3" t="s">
        <v>101</v>
      </c>
      <c r="B22" s="3" t="s">
        <v>122</v>
      </c>
      <c r="C22" s="4">
        <v>746</v>
      </c>
      <c r="D22" s="4">
        <v>900</v>
      </c>
      <c r="E22" s="5">
        <v>0.26379999999999998</v>
      </c>
      <c r="F22" s="6">
        <v>4</v>
      </c>
      <c r="G22" s="4">
        <v>121</v>
      </c>
      <c r="H22" s="4">
        <v>2</v>
      </c>
      <c r="I22" s="7">
        <v>9854.67</v>
      </c>
      <c r="J22" s="5">
        <v>2.8E-3</v>
      </c>
    </row>
    <row r="23" spans="1:10" ht="15" customHeight="1" x14ac:dyDescent="0.2">
      <c r="A23" s="8" t="s">
        <v>101</v>
      </c>
      <c r="B23" s="8" t="s">
        <v>123</v>
      </c>
      <c r="C23" s="9">
        <v>673</v>
      </c>
      <c r="D23" s="9">
        <v>818</v>
      </c>
      <c r="E23" s="10">
        <v>0.17219999999999999</v>
      </c>
      <c r="F23" s="11">
        <v>4.3600000000000003</v>
      </c>
      <c r="G23" s="9">
        <v>144</v>
      </c>
      <c r="H23" s="9">
        <v>1</v>
      </c>
      <c r="I23" s="12">
        <v>5683.72</v>
      </c>
      <c r="J23" s="10">
        <v>2.3999999999999998E-3</v>
      </c>
    </row>
    <row r="24" spans="1:10" ht="15" customHeight="1" x14ac:dyDescent="0.2">
      <c r="A24" s="3" t="s">
        <v>101</v>
      </c>
      <c r="B24" s="3" t="s">
        <v>124</v>
      </c>
      <c r="C24" s="4">
        <v>547</v>
      </c>
      <c r="D24" s="4">
        <v>646</v>
      </c>
      <c r="E24" s="5">
        <v>0.1981</v>
      </c>
      <c r="F24" s="6">
        <v>4.12</v>
      </c>
      <c r="G24" s="4">
        <v>134</v>
      </c>
      <c r="H24" s="4">
        <v>2</v>
      </c>
      <c r="I24" s="7">
        <v>8332.64</v>
      </c>
      <c r="J24" s="5">
        <v>4.3E-3</v>
      </c>
    </row>
    <row r="25" spans="1:10" ht="15" customHeight="1" x14ac:dyDescent="0.2">
      <c r="A25" s="8" t="s">
        <v>101</v>
      </c>
      <c r="B25" s="8" t="s">
        <v>125</v>
      </c>
      <c r="C25" s="9">
        <v>595</v>
      </c>
      <c r="D25" s="9">
        <v>741</v>
      </c>
      <c r="E25" s="10">
        <v>0.17369999999999999</v>
      </c>
      <c r="F25" s="11">
        <v>3.98</v>
      </c>
      <c r="G25" s="9">
        <v>115</v>
      </c>
      <c r="H25" s="9">
        <v>3</v>
      </c>
      <c r="I25" s="12">
        <v>19644.169999999998</v>
      </c>
      <c r="J25" s="10">
        <v>4.4999999999999997E-3</v>
      </c>
    </row>
    <row r="26" spans="1:10" ht="15" customHeight="1" x14ac:dyDescent="0.2">
      <c r="A26" s="3" t="s">
        <v>101</v>
      </c>
      <c r="B26" s="3" t="s">
        <v>126</v>
      </c>
      <c r="C26" s="4">
        <v>490</v>
      </c>
      <c r="D26" s="4">
        <v>560</v>
      </c>
      <c r="E26" s="5">
        <v>0.1991</v>
      </c>
      <c r="F26" s="6">
        <v>3.92</v>
      </c>
      <c r="G26" s="4">
        <v>109</v>
      </c>
      <c r="H26" s="4">
        <v>2</v>
      </c>
      <c r="I26" s="7">
        <v>8719.33</v>
      </c>
      <c r="J26" s="5">
        <v>4.7999999999999996E-3</v>
      </c>
    </row>
    <row r="27" spans="1:10" ht="15" customHeight="1" x14ac:dyDescent="0.2">
      <c r="A27" s="8" t="s">
        <v>101</v>
      </c>
      <c r="B27" s="8" t="s">
        <v>127</v>
      </c>
      <c r="C27" s="9">
        <v>378</v>
      </c>
      <c r="D27" s="9">
        <v>460</v>
      </c>
      <c r="E27" s="10">
        <v>0.26919999999999999</v>
      </c>
      <c r="F27" s="11">
        <v>4.45</v>
      </c>
      <c r="G27" s="9">
        <v>136</v>
      </c>
      <c r="H27" s="9">
        <v>2</v>
      </c>
      <c r="I27" s="12">
        <v>13675.44</v>
      </c>
      <c r="J27" s="10">
        <v>4.7000000000000002E-3</v>
      </c>
    </row>
    <row r="28" spans="1:10" ht="15" customHeight="1" x14ac:dyDescent="0.2">
      <c r="A28" s="3" t="s">
        <v>101</v>
      </c>
      <c r="B28" s="3" t="s">
        <v>128</v>
      </c>
      <c r="C28" s="4">
        <v>391</v>
      </c>
      <c r="D28" s="4">
        <v>483</v>
      </c>
      <c r="E28" s="5">
        <v>0.2472</v>
      </c>
      <c r="F28" s="6">
        <v>4.13</v>
      </c>
      <c r="G28" s="4">
        <v>115</v>
      </c>
      <c r="H28" s="4">
        <v>1</v>
      </c>
      <c r="I28" s="7">
        <v>6339.08</v>
      </c>
      <c r="J28" s="5">
        <v>2.3E-3</v>
      </c>
    </row>
    <row r="29" spans="1:10" ht="15" customHeight="1" x14ac:dyDescent="0.2">
      <c r="A29" s="8" t="s">
        <v>101</v>
      </c>
      <c r="B29" s="8" t="s">
        <v>129</v>
      </c>
      <c r="C29" s="9">
        <v>350</v>
      </c>
      <c r="D29" s="9">
        <v>401</v>
      </c>
      <c r="E29" s="10">
        <v>0.19409999999999999</v>
      </c>
      <c r="F29" s="11">
        <v>3.37</v>
      </c>
      <c r="G29" s="9">
        <v>140</v>
      </c>
      <c r="H29" s="9">
        <v>1</v>
      </c>
      <c r="I29" s="12">
        <v>4409.51</v>
      </c>
      <c r="J29" s="10">
        <v>2.5000000000000001E-3</v>
      </c>
    </row>
    <row r="30" spans="1:10" ht="15" customHeight="1" x14ac:dyDescent="0.2">
      <c r="A30" s="3" t="s">
        <v>101</v>
      </c>
      <c r="B30" s="3" t="s">
        <v>130</v>
      </c>
      <c r="C30" s="4">
        <v>640</v>
      </c>
      <c r="D30" s="4">
        <v>688</v>
      </c>
      <c r="E30" s="5">
        <v>0.25140000000000001</v>
      </c>
      <c r="F30" s="6">
        <v>2.83</v>
      </c>
      <c r="G30" s="4">
        <v>106</v>
      </c>
      <c r="H30" s="4">
        <v>1</v>
      </c>
      <c r="I30" s="7">
        <v>4502.22</v>
      </c>
      <c r="J30" s="5">
        <v>2.3999999999999998E-3</v>
      </c>
    </row>
    <row r="31" spans="1:10" ht="15" customHeight="1" x14ac:dyDescent="0.2">
      <c r="A31" s="8" t="s">
        <v>101</v>
      </c>
      <c r="B31" s="8" t="s">
        <v>131</v>
      </c>
      <c r="C31" s="9">
        <v>376</v>
      </c>
      <c r="D31" s="9">
        <v>470</v>
      </c>
      <c r="E31" s="10">
        <v>0.25669999999999998</v>
      </c>
      <c r="F31" s="11">
        <v>2.58</v>
      </c>
      <c r="G31" s="9">
        <v>100</v>
      </c>
      <c r="H31" s="9">
        <v>0</v>
      </c>
      <c r="I31" s="12">
        <v>0</v>
      </c>
      <c r="J31" s="10">
        <v>6.9999999999999999E-4</v>
      </c>
    </row>
    <row r="32" spans="1:10" ht="15" customHeight="1" x14ac:dyDescent="0.2">
      <c r="A32" s="3" t="s">
        <v>101</v>
      </c>
      <c r="B32" s="3" t="s">
        <v>132</v>
      </c>
      <c r="C32" s="4">
        <v>544</v>
      </c>
      <c r="D32" s="4">
        <v>614</v>
      </c>
      <c r="E32" s="5">
        <v>0.252</v>
      </c>
      <c r="F32" s="6">
        <v>3.53</v>
      </c>
      <c r="G32" s="4">
        <v>102</v>
      </c>
      <c r="H32" s="4">
        <v>1</v>
      </c>
      <c r="I32" s="7">
        <v>3393.17</v>
      </c>
      <c r="J32" s="5">
        <v>2E-3</v>
      </c>
    </row>
    <row r="33" spans="1:10" ht="15" customHeight="1" x14ac:dyDescent="0.2">
      <c r="A33" s="8" t="s">
        <v>101</v>
      </c>
      <c r="B33" s="8" t="s">
        <v>133</v>
      </c>
      <c r="C33" s="9">
        <v>367</v>
      </c>
      <c r="D33" s="9">
        <v>391</v>
      </c>
      <c r="E33" s="10">
        <v>0.28360000000000002</v>
      </c>
      <c r="F33" s="11">
        <v>2.82</v>
      </c>
      <c r="G33" s="9">
        <v>89</v>
      </c>
      <c r="H33" s="9">
        <v>0</v>
      </c>
      <c r="I33" s="12">
        <v>0</v>
      </c>
      <c r="J33" s="10">
        <v>1.8E-3</v>
      </c>
    </row>
    <row r="34" spans="1:10" ht="15" customHeight="1" x14ac:dyDescent="0.2">
      <c r="A34" s="3" t="s">
        <v>101</v>
      </c>
      <c r="B34" s="3" t="s">
        <v>134</v>
      </c>
      <c r="C34" s="4">
        <v>380</v>
      </c>
      <c r="D34" s="4">
        <v>405</v>
      </c>
      <c r="E34" s="5">
        <v>0.224</v>
      </c>
      <c r="F34" s="6">
        <v>3.18</v>
      </c>
      <c r="G34" s="4">
        <v>98</v>
      </c>
      <c r="H34" s="4">
        <v>0</v>
      </c>
      <c r="I34" s="7">
        <v>0</v>
      </c>
      <c r="J34" s="5">
        <v>6.9999999999999999E-4</v>
      </c>
    </row>
    <row r="35" spans="1:10" ht="15" customHeight="1" x14ac:dyDescent="0.2">
      <c r="A35" s="8" t="s">
        <v>101</v>
      </c>
      <c r="B35" s="8" t="s">
        <v>135</v>
      </c>
      <c r="C35" s="9">
        <v>384</v>
      </c>
      <c r="D35" s="9">
        <v>407</v>
      </c>
      <c r="E35" s="10">
        <v>0.31540000000000001</v>
      </c>
      <c r="F35" s="11">
        <v>3.71</v>
      </c>
      <c r="G35" s="9">
        <v>108</v>
      </c>
      <c r="H35" s="9">
        <v>0</v>
      </c>
      <c r="I35" s="12">
        <v>0</v>
      </c>
      <c r="J35" s="10">
        <v>1.4E-3</v>
      </c>
    </row>
    <row r="36" spans="1:10" ht="15" customHeight="1" x14ac:dyDescent="0.2">
      <c r="A36" s="3" t="s">
        <v>101</v>
      </c>
      <c r="B36" s="3" t="s">
        <v>136</v>
      </c>
      <c r="C36" s="4">
        <v>228</v>
      </c>
      <c r="D36" s="4">
        <v>280</v>
      </c>
      <c r="E36" s="5">
        <v>0.35270000000000001</v>
      </c>
      <c r="F36" s="6">
        <v>3.52</v>
      </c>
      <c r="G36" s="4">
        <v>73</v>
      </c>
      <c r="H36" s="4">
        <v>0</v>
      </c>
      <c r="I36" s="7">
        <v>0</v>
      </c>
      <c r="J36" s="5">
        <v>1.6000000000000001E-3</v>
      </c>
    </row>
    <row r="37" spans="1:10" ht="15" customHeight="1" x14ac:dyDescent="0.2">
      <c r="A37" s="8" t="s">
        <v>101</v>
      </c>
      <c r="B37" s="8" t="s">
        <v>137</v>
      </c>
      <c r="C37" s="9">
        <v>393</v>
      </c>
      <c r="D37" s="9">
        <v>442</v>
      </c>
      <c r="E37" s="10">
        <v>0.28599999999999998</v>
      </c>
      <c r="F37" s="11">
        <v>2.92</v>
      </c>
      <c r="G37" s="9">
        <v>85</v>
      </c>
      <c r="H37" s="9">
        <v>0</v>
      </c>
      <c r="I37" s="12">
        <v>0</v>
      </c>
      <c r="J37" s="10">
        <v>1.8E-3</v>
      </c>
    </row>
    <row r="38" spans="1:10" ht="15" customHeight="1" x14ac:dyDescent="0.2">
      <c r="A38" s="3" t="s">
        <v>101</v>
      </c>
      <c r="B38" s="3" t="s">
        <v>138</v>
      </c>
      <c r="C38" s="4">
        <v>271</v>
      </c>
      <c r="D38" s="4">
        <v>324</v>
      </c>
      <c r="E38" s="5">
        <v>0.25790000000000002</v>
      </c>
      <c r="F38" s="6">
        <v>3.44</v>
      </c>
      <c r="G38" s="4">
        <v>108</v>
      </c>
      <c r="H38" s="4">
        <v>0</v>
      </c>
      <c r="I38" s="7">
        <v>0</v>
      </c>
      <c r="J38" s="5">
        <v>6.9999999999999999E-4</v>
      </c>
    </row>
    <row r="39" spans="1:10" ht="15" customHeight="1" x14ac:dyDescent="0.2">
      <c r="A39" s="8" t="s">
        <v>101</v>
      </c>
      <c r="B39" s="8" t="s">
        <v>139</v>
      </c>
      <c r="C39" s="9">
        <v>266</v>
      </c>
      <c r="D39" s="9">
        <v>324</v>
      </c>
      <c r="E39" s="10">
        <v>0.35189999999999999</v>
      </c>
      <c r="F39" s="11">
        <v>2.83</v>
      </c>
      <c r="G39" s="9">
        <v>68</v>
      </c>
      <c r="H39" s="9">
        <v>0</v>
      </c>
      <c r="I39" s="12">
        <v>0</v>
      </c>
      <c r="J39" s="10">
        <v>2.3E-3</v>
      </c>
    </row>
    <row r="40" spans="1:10" ht="15" customHeight="1" x14ac:dyDescent="0.2">
      <c r="A40" s="3" t="s">
        <v>101</v>
      </c>
      <c r="B40" s="3" t="s">
        <v>140</v>
      </c>
      <c r="C40" s="4">
        <v>201</v>
      </c>
      <c r="D40" s="4">
        <v>245</v>
      </c>
      <c r="E40" s="5">
        <v>0.23849999999999999</v>
      </c>
      <c r="F40" s="6">
        <v>2.4300000000000002</v>
      </c>
      <c r="G40" s="4">
        <v>63</v>
      </c>
      <c r="H40" s="4">
        <v>0</v>
      </c>
      <c r="I40" s="7">
        <v>0</v>
      </c>
      <c r="J40" s="5">
        <v>8.0000000000000004E-4</v>
      </c>
    </row>
    <row r="41" spans="1:10" ht="15" customHeight="1" x14ac:dyDescent="0.2">
      <c r="A41" s="8" t="s">
        <v>101</v>
      </c>
      <c r="B41" s="8" t="s">
        <v>141</v>
      </c>
      <c r="C41" s="9">
        <v>246</v>
      </c>
      <c r="D41" s="9">
        <v>273</v>
      </c>
      <c r="E41" s="10">
        <v>0.28299999999999997</v>
      </c>
      <c r="F41" s="11">
        <v>2.85</v>
      </c>
      <c r="G41" s="9">
        <v>90</v>
      </c>
      <c r="H41" s="9">
        <v>0</v>
      </c>
      <c r="I41" s="12">
        <v>0</v>
      </c>
      <c r="J41" s="10">
        <v>2.3E-3</v>
      </c>
    </row>
    <row r="42" spans="1:10" ht="15" customHeight="1" x14ac:dyDescent="0.2">
      <c r="A42" s="13" t="s">
        <v>36</v>
      </c>
      <c r="B42" s="13"/>
      <c r="C42" s="14">
        <f>SUM(C2:C41)</f>
        <v>121840</v>
      </c>
      <c r="D42" s="14">
        <f>SUM(D2:D41)</f>
        <v>155145</v>
      </c>
      <c r="E42" s="15"/>
      <c r="F42" s="16"/>
      <c r="G42" s="14"/>
      <c r="H42" s="14">
        <f>SUM(H2:H41)</f>
        <v>953</v>
      </c>
      <c r="I42" s="17">
        <f>SUM(I2:I41)</f>
        <v>6629973.0099999988</v>
      </c>
      <c r="J42" s="15"/>
    </row>
    <row r="44" spans="1:10" ht="30" customHeight="1" x14ac:dyDescent="0.2">
      <c r="A44" s="109" t="s">
        <v>142</v>
      </c>
      <c r="B44" s="109"/>
      <c r="C44" s="109"/>
      <c r="D44" s="109"/>
      <c r="E44" s="109"/>
      <c r="F44" s="109"/>
      <c r="G44" s="109"/>
      <c r="H44" s="109"/>
      <c r="I44" s="109"/>
      <c r="J44" s="109"/>
    </row>
  </sheetData>
  <mergeCells count="1">
    <mergeCell ref="A44:J44"/>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65"/>
  <sheetViews>
    <sheetView zoomScaleNormal="100" workbookViewId="0">
      <pane ySplit="1" topLeftCell="A2" activePane="bottomLeft" state="frozen"/>
      <selection pane="bottomLeft" activeCell="D59" sqref="D59"/>
    </sheetView>
  </sheetViews>
  <sheetFormatPr baseColWidth="10" defaultColWidth="8.6640625" defaultRowHeight="15" x14ac:dyDescent="0.2"/>
  <cols>
    <col min="1" max="1" width="7" customWidth="1"/>
    <col min="2" max="2" width="42" customWidth="1"/>
    <col min="3" max="3" width="22" customWidth="1"/>
    <col min="4" max="4" width="16" customWidth="1"/>
    <col min="5" max="5" width="14" customWidth="1"/>
    <col min="6" max="6" width="10" customWidth="1"/>
    <col min="7" max="7" width="14" customWidth="1"/>
    <col min="8" max="8" width="22" customWidth="1"/>
    <col min="9" max="9" width="18" customWidth="1"/>
    <col min="10" max="11" width="16" customWidth="1"/>
  </cols>
  <sheetData>
    <row r="1" spans="1:11" ht="27.75" customHeight="1" x14ac:dyDescent="0.2">
      <c r="A1" s="2" t="s">
        <v>143</v>
      </c>
      <c r="B1" s="2" t="s">
        <v>144</v>
      </c>
      <c r="C1" s="2" t="s">
        <v>145</v>
      </c>
      <c r="D1" s="2" t="s">
        <v>146</v>
      </c>
      <c r="E1" s="2" t="s">
        <v>147</v>
      </c>
      <c r="F1" s="2" t="s">
        <v>148</v>
      </c>
      <c r="G1" s="2" t="s">
        <v>149</v>
      </c>
      <c r="H1" s="2" t="s">
        <v>150</v>
      </c>
      <c r="I1" s="2" t="s">
        <v>151</v>
      </c>
      <c r="J1" s="2" t="s">
        <v>152</v>
      </c>
      <c r="K1" s="2" t="s">
        <v>153</v>
      </c>
    </row>
    <row r="2" spans="1:11" ht="15" customHeight="1" x14ac:dyDescent="0.2">
      <c r="A2" s="3">
        <v>1</v>
      </c>
      <c r="B2" s="3" t="s">
        <v>154</v>
      </c>
      <c r="C2" s="3" t="s">
        <v>155</v>
      </c>
      <c r="D2" s="7">
        <v>350835.6</v>
      </c>
      <c r="E2" s="4">
        <v>6</v>
      </c>
      <c r="F2" s="4">
        <v>8</v>
      </c>
      <c r="G2" s="18">
        <v>43854.45</v>
      </c>
      <c r="H2" s="6">
        <v>1.33</v>
      </c>
      <c r="I2" s="7">
        <v>7016.71</v>
      </c>
      <c r="J2" s="5">
        <v>4.4200000000000003E-2</v>
      </c>
      <c r="K2" s="5">
        <v>9.1600000000000001E-2</v>
      </c>
    </row>
    <row r="3" spans="1:11" ht="15" customHeight="1" x14ac:dyDescent="0.2">
      <c r="A3" s="8">
        <v>2</v>
      </c>
      <c r="B3" s="8" t="s">
        <v>156</v>
      </c>
      <c r="C3" s="8" t="s">
        <v>157</v>
      </c>
      <c r="D3" s="12">
        <v>279019.36</v>
      </c>
      <c r="E3" s="9">
        <v>5</v>
      </c>
      <c r="F3" s="9">
        <v>8</v>
      </c>
      <c r="G3" s="19">
        <v>34877.42</v>
      </c>
      <c r="H3" s="11">
        <v>1.6</v>
      </c>
      <c r="I3" s="12">
        <v>5580.39</v>
      </c>
      <c r="J3" s="10">
        <v>2.1299999999999999E-2</v>
      </c>
      <c r="K3" s="10">
        <v>1.9599999999999999E-2</v>
      </c>
    </row>
    <row r="4" spans="1:11" ht="15" customHeight="1" x14ac:dyDescent="0.2">
      <c r="A4" s="3">
        <v>3</v>
      </c>
      <c r="B4" s="3" t="s">
        <v>158</v>
      </c>
      <c r="C4" s="3" t="s">
        <v>155</v>
      </c>
      <c r="D4" s="7">
        <v>226972.56</v>
      </c>
      <c r="E4" s="4">
        <v>2</v>
      </c>
      <c r="F4" s="4">
        <v>4</v>
      </c>
      <c r="G4" s="18">
        <v>56743.14</v>
      </c>
      <c r="H4" s="6">
        <v>2</v>
      </c>
      <c r="I4" s="7">
        <v>0</v>
      </c>
      <c r="J4" s="5">
        <v>7.9600000000000004E-2</v>
      </c>
      <c r="K4" s="5">
        <v>9.4399999999999998E-2</v>
      </c>
    </row>
    <row r="5" spans="1:11" ht="15" customHeight="1" x14ac:dyDescent="0.2">
      <c r="A5" s="8">
        <v>4</v>
      </c>
      <c r="B5" s="8" t="s">
        <v>159</v>
      </c>
      <c r="C5" s="8" t="s">
        <v>155</v>
      </c>
      <c r="D5" s="12">
        <v>168893.64</v>
      </c>
      <c r="E5" s="9">
        <v>2</v>
      </c>
      <c r="F5" s="9">
        <v>4</v>
      </c>
      <c r="G5" s="19">
        <v>42223.41</v>
      </c>
      <c r="H5" s="11">
        <v>2</v>
      </c>
      <c r="I5" s="12">
        <v>0</v>
      </c>
      <c r="J5" s="10">
        <v>5.62E-2</v>
      </c>
      <c r="K5" s="10">
        <v>8.8700000000000001E-2</v>
      </c>
    </row>
    <row r="6" spans="1:11" ht="15" customHeight="1" x14ac:dyDescent="0.2">
      <c r="A6" s="3">
        <v>5</v>
      </c>
      <c r="B6" s="3" t="s">
        <v>160</v>
      </c>
      <c r="C6" s="3" t="s">
        <v>161</v>
      </c>
      <c r="D6" s="7">
        <v>158319.63</v>
      </c>
      <c r="E6" s="4">
        <v>12</v>
      </c>
      <c r="F6" s="4">
        <v>21</v>
      </c>
      <c r="G6" s="18">
        <v>7539.03</v>
      </c>
      <c r="H6" s="6">
        <v>1.75</v>
      </c>
      <c r="I6" s="7">
        <v>3166.39</v>
      </c>
      <c r="J6" s="5">
        <v>2.3E-3</v>
      </c>
      <c r="K6" s="5">
        <v>3.3700000000000001E-2</v>
      </c>
    </row>
    <row r="7" spans="1:11" ht="15" customHeight="1" x14ac:dyDescent="0.2">
      <c r="A7" s="8">
        <v>6</v>
      </c>
      <c r="B7" s="8" t="s">
        <v>162</v>
      </c>
      <c r="C7" s="8" t="s">
        <v>157</v>
      </c>
      <c r="D7" s="12">
        <v>153391.20000000001</v>
      </c>
      <c r="E7" s="9">
        <v>2</v>
      </c>
      <c r="F7" s="9">
        <v>4</v>
      </c>
      <c r="G7" s="19">
        <v>38347.800000000003</v>
      </c>
      <c r="H7" s="11">
        <v>2</v>
      </c>
      <c r="I7" s="12">
        <v>0</v>
      </c>
      <c r="J7" s="10">
        <v>4.19E-2</v>
      </c>
      <c r="K7" s="10">
        <v>1.4200000000000001E-2</v>
      </c>
    </row>
    <row r="8" spans="1:11" ht="15" customHeight="1" x14ac:dyDescent="0.2">
      <c r="A8" s="3">
        <v>7</v>
      </c>
      <c r="B8" s="3" t="s">
        <v>163</v>
      </c>
      <c r="C8" s="3" t="s">
        <v>155</v>
      </c>
      <c r="D8" s="7">
        <v>129245.4</v>
      </c>
      <c r="E8" s="4">
        <v>2</v>
      </c>
      <c r="F8" s="4">
        <v>5</v>
      </c>
      <c r="G8" s="18">
        <v>25849.08</v>
      </c>
      <c r="H8" s="6">
        <v>2.5</v>
      </c>
      <c r="I8" s="7">
        <v>0</v>
      </c>
      <c r="J8" s="5">
        <v>6.2199999999999998E-2</v>
      </c>
      <c r="K8" s="5">
        <v>6.8599999999999994E-2</v>
      </c>
    </row>
    <row r="9" spans="1:11" ht="15" customHeight="1" x14ac:dyDescent="0.2">
      <c r="A9" s="8">
        <v>8</v>
      </c>
      <c r="B9" s="8" t="s">
        <v>164</v>
      </c>
      <c r="C9" s="8" t="s">
        <v>165</v>
      </c>
      <c r="D9" s="12">
        <v>95556.45</v>
      </c>
      <c r="E9" s="9">
        <v>21</v>
      </c>
      <c r="F9" s="9">
        <v>29</v>
      </c>
      <c r="G9" s="19">
        <v>3295.05</v>
      </c>
      <c r="H9" s="11">
        <v>1.38</v>
      </c>
      <c r="I9" s="12">
        <v>2866.69</v>
      </c>
      <c r="J9" s="10">
        <v>4.58E-2</v>
      </c>
      <c r="K9" s="10">
        <v>6.5199999999999994E-2</v>
      </c>
    </row>
    <row r="10" spans="1:11" ht="15" customHeight="1" x14ac:dyDescent="0.2">
      <c r="A10" s="3">
        <v>9</v>
      </c>
      <c r="B10" s="3" t="s">
        <v>166</v>
      </c>
      <c r="C10" s="3" t="s">
        <v>167</v>
      </c>
      <c r="D10" s="7">
        <v>90809.74</v>
      </c>
      <c r="E10" s="4">
        <v>26</v>
      </c>
      <c r="F10" s="4">
        <v>38</v>
      </c>
      <c r="G10" s="18">
        <v>2389.73</v>
      </c>
      <c r="H10" s="6">
        <v>1.46</v>
      </c>
      <c r="I10" s="7">
        <v>908.1</v>
      </c>
      <c r="J10" s="5">
        <v>2.8899999999999999E-2</v>
      </c>
      <c r="K10" s="5">
        <v>7.1800000000000003E-2</v>
      </c>
    </row>
    <row r="11" spans="1:11" ht="15" customHeight="1" x14ac:dyDescent="0.2">
      <c r="A11" s="8">
        <v>10</v>
      </c>
      <c r="B11" s="8" t="s">
        <v>168</v>
      </c>
      <c r="C11" s="8" t="s">
        <v>165</v>
      </c>
      <c r="D11" s="12">
        <v>82848.479999999996</v>
      </c>
      <c r="E11" s="9">
        <v>9</v>
      </c>
      <c r="F11" s="9">
        <v>11</v>
      </c>
      <c r="G11" s="19">
        <v>7531.68</v>
      </c>
      <c r="H11" s="11">
        <v>1.22</v>
      </c>
      <c r="I11" s="12">
        <v>2485.4499999999998</v>
      </c>
      <c r="J11" s="10">
        <v>9.4000000000000004E-3</v>
      </c>
      <c r="K11" s="10">
        <v>1.23E-2</v>
      </c>
    </row>
    <row r="12" spans="1:11" ht="15" customHeight="1" x14ac:dyDescent="0.2">
      <c r="A12" s="3">
        <v>11</v>
      </c>
      <c r="B12" s="3" t="s">
        <v>169</v>
      </c>
      <c r="C12" s="3" t="s">
        <v>170</v>
      </c>
      <c r="D12" s="7">
        <v>76715.12</v>
      </c>
      <c r="E12" s="4">
        <v>38</v>
      </c>
      <c r="F12" s="4">
        <v>46</v>
      </c>
      <c r="G12" s="18">
        <v>1667.72</v>
      </c>
      <c r="H12" s="6">
        <v>1.21</v>
      </c>
      <c r="I12" s="7">
        <v>2301.4499999999998</v>
      </c>
      <c r="J12" s="5">
        <v>4.2599999999999999E-2</v>
      </c>
      <c r="K12" s="5">
        <v>8.8599999999999998E-2</v>
      </c>
    </row>
    <row r="13" spans="1:11" ht="15" customHeight="1" x14ac:dyDescent="0.2">
      <c r="A13" s="8">
        <v>12</v>
      </c>
      <c r="B13" s="8" t="s">
        <v>171</v>
      </c>
      <c r="C13" s="8" t="s">
        <v>161</v>
      </c>
      <c r="D13" s="12">
        <v>75720.45</v>
      </c>
      <c r="E13" s="9">
        <v>4</v>
      </c>
      <c r="F13" s="9">
        <v>5</v>
      </c>
      <c r="G13" s="19">
        <v>15144.09</v>
      </c>
      <c r="H13" s="11">
        <v>1.25</v>
      </c>
      <c r="I13" s="12">
        <v>0</v>
      </c>
      <c r="J13" s="10">
        <v>1.61E-2</v>
      </c>
      <c r="K13" s="10">
        <v>1.7500000000000002E-2</v>
      </c>
    </row>
    <row r="14" spans="1:11" ht="15" customHeight="1" x14ac:dyDescent="0.2">
      <c r="A14" s="3">
        <v>13</v>
      </c>
      <c r="B14" s="3" t="s">
        <v>172</v>
      </c>
      <c r="C14" s="3" t="s">
        <v>173</v>
      </c>
      <c r="D14" s="7">
        <v>73567.95</v>
      </c>
      <c r="E14" s="4">
        <v>2</v>
      </c>
      <c r="F14" s="4">
        <v>3</v>
      </c>
      <c r="G14" s="18">
        <v>24522.65</v>
      </c>
      <c r="H14" s="6">
        <v>1.5</v>
      </c>
      <c r="I14" s="7">
        <v>0</v>
      </c>
      <c r="J14" s="5">
        <v>1.54E-2</v>
      </c>
      <c r="K14" s="5">
        <v>3.7900000000000003E-2</v>
      </c>
    </row>
    <row r="15" spans="1:11" ht="15" customHeight="1" x14ac:dyDescent="0.2">
      <c r="A15" s="8">
        <v>14</v>
      </c>
      <c r="B15" s="8" t="s">
        <v>174</v>
      </c>
      <c r="C15" s="8" t="s">
        <v>170</v>
      </c>
      <c r="D15" s="12">
        <v>66831.820000000007</v>
      </c>
      <c r="E15" s="9">
        <v>8</v>
      </c>
      <c r="F15" s="9">
        <v>11</v>
      </c>
      <c r="G15" s="19">
        <v>6075.62</v>
      </c>
      <c r="H15" s="11">
        <v>1.38</v>
      </c>
      <c r="I15" s="12">
        <v>0</v>
      </c>
      <c r="J15" s="10">
        <v>1E-3</v>
      </c>
      <c r="K15" s="10">
        <v>6.3600000000000004E-2</v>
      </c>
    </row>
    <row r="16" spans="1:11" ht="15" customHeight="1" x14ac:dyDescent="0.2">
      <c r="A16" s="3">
        <v>15</v>
      </c>
      <c r="B16" s="3" t="s">
        <v>175</v>
      </c>
      <c r="C16" s="3" t="s">
        <v>157</v>
      </c>
      <c r="D16" s="7">
        <v>59501.13</v>
      </c>
      <c r="E16" s="4">
        <v>1</v>
      </c>
      <c r="F16" s="4">
        <v>1</v>
      </c>
      <c r="G16" s="18">
        <v>59501.13</v>
      </c>
      <c r="H16" s="6">
        <v>1</v>
      </c>
      <c r="I16" s="7">
        <v>0</v>
      </c>
      <c r="J16" s="5">
        <v>6.7500000000000004E-2</v>
      </c>
      <c r="K16" s="5">
        <v>0.12640000000000001</v>
      </c>
    </row>
    <row r="17" spans="1:11" ht="15" customHeight="1" x14ac:dyDescent="0.2">
      <c r="A17" s="8">
        <v>16</v>
      </c>
      <c r="B17" s="8" t="s">
        <v>176</v>
      </c>
      <c r="C17" s="8" t="s">
        <v>170</v>
      </c>
      <c r="D17" s="12">
        <v>56723.94</v>
      </c>
      <c r="E17" s="9">
        <v>4</v>
      </c>
      <c r="F17" s="9">
        <v>7</v>
      </c>
      <c r="G17" s="19">
        <v>8103.42</v>
      </c>
      <c r="H17" s="11">
        <v>1.75</v>
      </c>
      <c r="I17" s="12">
        <v>0</v>
      </c>
      <c r="J17" s="10">
        <v>7.6799999999999993E-2</v>
      </c>
      <c r="K17" s="10">
        <v>1.44E-2</v>
      </c>
    </row>
    <row r="18" spans="1:11" ht="15" customHeight="1" x14ac:dyDescent="0.2">
      <c r="A18" s="3">
        <v>17</v>
      </c>
      <c r="B18" s="3" t="s">
        <v>177</v>
      </c>
      <c r="C18" s="3" t="s">
        <v>157</v>
      </c>
      <c r="D18" s="7">
        <v>48272.73</v>
      </c>
      <c r="E18" s="4">
        <v>6</v>
      </c>
      <c r="F18" s="4">
        <v>11</v>
      </c>
      <c r="G18" s="18">
        <v>4388.43</v>
      </c>
      <c r="H18" s="6">
        <v>1.83</v>
      </c>
      <c r="I18" s="7">
        <v>0</v>
      </c>
      <c r="J18" s="5">
        <v>6.4199999999999993E-2</v>
      </c>
      <c r="K18" s="5">
        <v>0.1295</v>
      </c>
    </row>
    <row r="19" spans="1:11" ht="15" customHeight="1" x14ac:dyDescent="0.2">
      <c r="A19" s="8">
        <v>18</v>
      </c>
      <c r="B19" s="8" t="s">
        <v>178</v>
      </c>
      <c r="C19" s="8" t="s">
        <v>170</v>
      </c>
      <c r="D19" s="12">
        <v>46902</v>
      </c>
      <c r="E19" s="9">
        <v>43</v>
      </c>
      <c r="F19" s="9">
        <v>50</v>
      </c>
      <c r="G19" s="19">
        <v>938.04</v>
      </c>
      <c r="H19" s="11">
        <v>1.1599999999999999</v>
      </c>
      <c r="I19" s="12">
        <v>1407.06</v>
      </c>
      <c r="J19" s="10">
        <v>1.0999999999999999E-2</v>
      </c>
      <c r="K19" s="10">
        <v>0.13420000000000001</v>
      </c>
    </row>
    <row r="20" spans="1:11" ht="15" customHeight="1" x14ac:dyDescent="0.2">
      <c r="A20" s="3">
        <v>19</v>
      </c>
      <c r="B20" s="3" t="s">
        <v>179</v>
      </c>
      <c r="C20" s="3" t="s">
        <v>161</v>
      </c>
      <c r="D20" s="7">
        <v>45858.7</v>
      </c>
      <c r="E20" s="4">
        <v>2</v>
      </c>
      <c r="F20" s="4">
        <v>5</v>
      </c>
      <c r="G20" s="18">
        <v>9171.74</v>
      </c>
      <c r="H20" s="6">
        <v>2.5</v>
      </c>
      <c r="I20" s="7">
        <v>1375.76</v>
      </c>
      <c r="J20" s="5">
        <v>4.8500000000000001E-2</v>
      </c>
      <c r="K20" s="5">
        <v>0.11219999999999999</v>
      </c>
    </row>
    <row r="21" spans="1:11" ht="15" customHeight="1" x14ac:dyDescent="0.2">
      <c r="A21" s="8">
        <v>20</v>
      </c>
      <c r="B21" s="8" t="s">
        <v>180</v>
      </c>
      <c r="C21" s="8" t="s">
        <v>161</v>
      </c>
      <c r="D21" s="12">
        <v>45420.76</v>
      </c>
      <c r="E21" s="9">
        <v>31</v>
      </c>
      <c r="F21" s="9">
        <v>44</v>
      </c>
      <c r="G21" s="19">
        <v>1032.29</v>
      </c>
      <c r="H21" s="11">
        <v>1.42</v>
      </c>
      <c r="I21" s="12">
        <v>0</v>
      </c>
      <c r="J21" s="10">
        <v>5.6899999999999999E-2</v>
      </c>
      <c r="K21" s="10">
        <v>2.1100000000000001E-2</v>
      </c>
    </row>
    <row r="22" spans="1:11" ht="15" customHeight="1" x14ac:dyDescent="0.2">
      <c r="A22" s="3">
        <v>21</v>
      </c>
      <c r="B22" s="3" t="s">
        <v>181</v>
      </c>
      <c r="C22" s="3" t="s">
        <v>173</v>
      </c>
      <c r="D22" s="7">
        <v>43296.4</v>
      </c>
      <c r="E22" s="4">
        <v>4</v>
      </c>
      <c r="F22" s="4">
        <v>7</v>
      </c>
      <c r="G22" s="18">
        <v>6185.2</v>
      </c>
      <c r="H22" s="6">
        <v>1.75</v>
      </c>
      <c r="I22" s="7">
        <v>865.93</v>
      </c>
      <c r="J22" s="5">
        <v>7.0900000000000005E-2</v>
      </c>
      <c r="K22" s="5">
        <v>2.63E-2</v>
      </c>
    </row>
    <row r="23" spans="1:11" ht="15" customHeight="1" x14ac:dyDescent="0.2">
      <c r="A23" s="8">
        <v>22</v>
      </c>
      <c r="B23" s="8" t="s">
        <v>182</v>
      </c>
      <c r="C23" s="8" t="s">
        <v>173</v>
      </c>
      <c r="D23" s="12">
        <v>42679.24</v>
      </c>
      <c r="E23" s="9">
        <v>1</v>
      </c>
      <c r="F23" s="9">
        <v>2</v>
      </c>
      <c r="G23" s="19">
        <v>21339.62</v>
      </c>
      <c r="H23" s="11">
        <v>2</v>
      </c>
      <c r="I23" s="12">
        <v>0</v>
      </c>
      <c r="J23" s="10">
        <v>7.0699999999999999E-2</v>
      </c>
      <c r="K23" s="10">
        <v>9.9299999999999999E-2</v>
      </c>
    </row>
    <row r="24" spans="1:11" ht="15" customHeight="1" x14ac:dyDescent="0.2">
      <c r="A24" s="3">
        <v>23</v>
      </c>
      <c r="B24" s="3" t="s">
        <v>183</v>
      </c>
      <c r="C24" s="3" t="s">
        <v>157</v>
      </c>
      <c r="D24" s="7">
        <v>41734.6</v>
      </c>
      <c r="E24" s="4">
        <v>13</v>
      </c>
      <c r="F24" s="4">
        <v>20</v>
      </c>
      <c r="G24" s="18">
        <v>2086.73</v>
      </c>
      <c r="H24" s="6">
        <v>1.54</v>
      </c>
      <c r="I24" s="7">
        <v>417.35</v>
      </c>
      <c r="J24" s="5">
        <v>2.93E-2</v>
      </c>
      <c r="K24" s="5">
        <v>4.58E-2</v>
      </c>
    </row>
    <row r="25" spans="1:11" ht="15" customHeight="1" x14ac:dyDescent="0.2">
      <c r="A25" s="8">
        <v>24</v>
      </c>
      <c r="B25" s="8" t="s">
        <v>184</v>
      </c>
      <c r="C25" s="8" t="s">
        <v>161</v>
      </c>
      <c r="D25" s="12">
        <v>41155.279999999999</v>
      </c>
      <c r="E25" s="9">
        <v>61</v>
      </c>
      <c r="F25" s="9">
        <v>92</v>
      </c>
      <c r="G25" s="19">
        <v>447.34</v>
      </c>
      <c r="H25" s="11">
        <v>1.51</v>
      </c>
      <c r="I25" s="12">
        <v>823.11</v>
      </c>
      <c r="J25" s="10">
        <v>3.9899999999999998E-2</v>
      </c>
      <c r="K25" s="10">
        <v>7.4399999999999994E-2</v>
      </c>
    </row>
    <row r="26" spans="1:11" ht="15" customHeight="1" x14ac:dyDescent="0.2">
      <c r="A26" s="3">
        <v>25</v>
      </c>
      <c r="B26" s="3" t="s">
        <v>185</v>
      </c>
      <c r="C26" s="3" t="s">
        <v>170</v>
      </c>
      <c r="D26" s="7">
        <v>39719.68</v>
      </c>
      <c r="E26" s="4">
        <v>45</v>
      </c>
      <c r="F26" s="4">
        <v>52</v>
      </c>
      <c r="G26" s="18">
        <v>763.84</v>
      </c>
      <c r="H26" s="6">
        <v>1.1599999999999999</v>
      </c>
      <c r="I26" s="7">
        <v>794.39</v>
      </c>
      <c r="J26" s="5">
        <v>3.85E-2</v>
      </c>
      <c r="K26" s="5">
        <v>4.5999999999999999E-2</v>
      </c>
    </row>
    <row r="27" spans="1:11" ht="15" customHeight="1" x14ac:dyDescent="0.2">
      <c r="A27" s="8">
        <v>26</v>
      </c>
      <c r="B27" s="8" t="s">
        <v>186</v>
      </c>
      <c r="C27" s="8" t="s">
        <v>161</v>
      </c>
      <c r="D27" s="12">
        <v>38672.980000000003</v>
      </c>
      <c r="E27" s="9">
        <v>11</v>
      </c>
      <c r="F27" s="9">
        <v>19</v>
      </c>
      <c r="G27" s="19">
        <v>2035.42</v>
      </c>
      <c r="H27" s="11">
        <v>1.73</v>
      </c>
      <c r="I27" s="12">
        <v>1160.19</v>
      </c>
      <c r="J27" s="10">
        <v>2.92E-2</v>
      </c>
      <c r="K27" s="10">
        <v>9.4000000000000004E-3</v>
      </c>
    </row>
    <row r="28" spans="1:11" ht="15" customHeight="1" x14ac:dyDescent="0.2">
      <c r="A28" s="3">
        <v>27</v>
      </c>
      <c r="B28" s="3" t="s">
        <v>187</v>
      </c>
      <c r="C28" s="3" t="s">
        <v>170</v>
      </c>
      <c r="D28" s="7">
        <v>35730.26</v>
      </c>
      <c r="E28" s="4">
        <v>31</v>
      </c>
      <c r="F28" s="4">
        <v>38</v>
      </c>
      <c r="G28" s="18">
        <v>940.27</v>
      </c>
      <c r="H28" s="6">
        <v>1.23</v>
      </c>
      <c r="I28" s="7">
        <v>1071.9100000000001</v>
      </c>
      <c r="J28" s="5">
        <v>2.0299999999999999E-2</v>
      </c>
      <c r="K28" s="5">
        <v>8.2600000000000007E-2</v>
      </c>
    </row>
    <row r="29" spans="1:11" ht="15" customHeight="1" x14ac:dyDescent="0.2">
      <c r="A29" s="8">
        <v>28</v>
      </c>
      <c r="B29" s="8" t="s">
        <v>188</v>
      </c>
      <c r="C29" s="8" t="s">
        <v>167</v>
      </c>
      <c r="D29" s="12">
        <v>34867</v>
      </c>
      <c r="E29" s="9">
        <v>20</v>
      </c>
      <c r="F29" s="9">
        <v>25</v>
      </c>
      <c r="G29" s="19">
        <v>1394.68</v>
      </c>
      <c r="H29" s="11">
        <v>1.25</v>
      </c>
      <c r="I29" s="12">
        <v>348.67</v>
      </c>
      <c r="J29" s="10">
        <v>2.52E-2</v>
      </c>
      <c r="K29" s="10">
        <v>0.1172</v>
      </c>
    </row>
    <row r="30" spans="1:11" ht="15" customHeight="1" x14ac:dyDescent="0.2">
      <c r="A30" s="3">
        <v>29</v>
      </c>
      <c r="B30" s="3" t="s">
        <v>189</v>
      </c>
      <c r="C30" s="3" t="s">
        <v>170</v>
      </c>
      <c r="D30" s="7">
        <v>34247.64</v>
      </c>
      <c r="E30" s="4">
        <v>5</v>
      </c>
      <c r="F30" s="4">
        <v>6</v>
      </c>
      <c r="G30" s="18">
        <v>5707.94</v>
      </c>
      <c r="H30" s="6">
        <v>1.2</v>
      </c>
      <c r="I30" s="7">
        <v>684.95</v>
      </c>
      <c r="J30" s="5">
        <v>7.0300000000000001E-2</v>
      </c>
      <c r="K30" s="5">
        <v>3.9699999999999999E-2</v>
      </c>
    </row>
    <row r="31" spans="1:11" ht="15" customHeight="1" x14ac:dyDescent="0.2">
      <c r="A31" s="8">
        <v>30</v>
      </c>
      <c r="B31" s="8" t="s">
        <v>190</v>
      </c>
      <c r="C31" s="8" t="s">
        <v>165</v>
      </c>
      <c r="D31" s="12">
        <v>33262.9</v>
      </c>
      <c r="E31" s="9">
        <v>8</v>
      </c>
      <c r="F31" s="9">
        <v>10</v>
      </c>
      <c r="G31" s="19">
        <v>3326.29</v>
      </c>
      <c r="H31" s="11">
        <v>1.25</v>
      </c>
      <c r="I31" s="12">
        <v>0</v>
      </c>
      <c r="J31" s="10">
        <v>3.5000000000000003E-2</v>
      </c>
      <c r="K31" s="10">
        <v>5.3699999999999998E-2</v>
      </c>
    </row>
    <row r="32" spans="1:11" ht="15" customHeight="1" x14ac:dyDescent="0.2">
      <c r="A32" s="3">
        <v>31</v>
      </c>
      <c r="B32" s="3" t="s">
        <v>191</v>
      </c>
      <c r="C32" s="3" t="s">
        <v>170</v>
      </c>
      <c r="D32" s="7">
        <v>32328.9</v>
      </c>
      <c r="E32" s="4">
        <v>26</v>
      </c>
      <c r="F32" s="4">
        <v>34</v>
      </c>
      <c r="G32" s="18">
        <v>950.85</v>
      </c>
      <c r="H32" s="6">
        <v>1.31</v>
      </c>
      <c r="I32" s="7">
        <v>323.29000000000002</v>
      </c>
      <c r="J32" s="5">
        <v>1.06E-2</v>
      </c>
      <c r="K32" s="5">
        <v>8.5999999999999993E-2</v>
      </c>
    </row>
    <row r="33" spans="1:11" ht="15" customHeight="1" x14ac:dyDescent="0.2">
      <c r="A33" s="8">
        <v>32</v>
      </c>
      <c r="B33" s="8" t="s">
        <v>192</v>
      </c>
      <c r="C33" s="8" t="s">
        <v>173</v>
      </c>
      <c r="D33" s="12">
        <v>28108.86</v>
      </c>
      <c r="E33" s="9">
        <v>4</v>
      </c>
      <c r="F33" s="9">
        <v>6</v>
      </c>
      <c r="G33" s="19">
        <v>4684.8100000000004</v>
      </c>
      <c r="H33" s="11">
        <v>1.5</v>
      </c>
      <c r="I33" s="12">
        <v>0</v>
      </c>
      <c r="J33" s="10">
        <v>5.6099999999999997E-2</v>
      </c>
      <c r="K33" s="10">
        <v>8.3299999999999999E-2</v>
      </c>
    </row>
    <row r="34" spans="1:11" ht="15" customHeight="1" x14ac:dyDescent="0.2">
      <c r="A34" s="3">
        <v>33</v>
      </c>
      <c r="B34" s="3" t="s">
        <v>193</v>
      </c>
      <c r="C34" s="3" t="s">
        <v>173</v>
      </c>
      <c r="D34" s="7">
        <v>27569.5</v>
      </c>
      <c r="E34" s="4">
        <v>6</v>
      </c>
      <c r="F34" s="4">
        <v>7</v>
      </c>
      <c r="G34" s="18">
        <v>3938.5</v>
      </c>
      <c r="H34" s="6">
        <v>1.17</v>
      </c>
      <c r="I34" s="7">
        <v>0</v>
      </c>
      <c r="J34" s="5">
        <v>2.41E-2</v>
      </c>
      <c r="K34" s="5">
        <v>8.09E-2</v>
      </c>
    </row>
    <row r="35" spans="1:11" ht="15" customHeight="1" x14ac:dyDescent="0.2">
      <c r="A35" s="8">
        <v>34</v>
      </c>
      <c r="B35" s="8" t="s">
        <v>194</v>
      </c>
      <c r="C35" s="8" t="s">
        <v>167</v>
      </c>
      <c r="D35" s="12">
        <v>26085.599999999999</v>
      </c>
      <c r="E35" s="9">
        <v>11</v>
      </c>
      <c r="F35" s="9">
        <v>15</v>
      </c>
      <c r="G35" s="19">
        <v>1739.04</v>
      </c>
      <c r="H35" s="11">
        <v>1.36</v>
      </c>
      <c r="I35" s="12">
        <v>0</v>
      </c>
      <c r="J35" s="10">
        <v>5.0799999999999998E-2</v>
      </c>
      <c r="K35" s="10">
        <v>5.7700000000000001E-2</v>
      </c>
    </row>
    <row r="36" spans="1:11" ht="15" customHeight="1" x14ac:dyDescent="0.2">
      <c r="A36" s="3">
        <v>35</v>
      </c>
      <c r="B36" s="3" t="s">
        <v>195</v>
      </c>
      <c r="C36" s="3" t="s">
        <v>167</v>
      </c>
      <c r="D36" s="7">
        <v>24756</v>
      </c>
      <c r="E36" s="4">
        <v>19</v>
      </c>
      <c r="F36" s="4">
        <v>25</v>
      </c>
      <c r="G36" s="18">
        <v>990.24</v>
      </c>
      <c r="H36" s="6">
        <v>1.32</v>
      </c>
      <c r="I36" s="7">
        <v>0</v>
      </c>
      <c r="J36" s="5">
        <v>5.1799999999999999E-2</v>
      </c>
      <c r="K36" s="5">
        <v>9.1300000000000006E-2</v>
      </c>
    </row>
    <row r="37" spans="1:11" ht="15" customHeight="1" x14ac:dyDescent="0.2">
      <c r="A37" s="8">
        <v>36</v>
      </c>
      <c r="B37" s="8" t="s">
        <v>196</v>
      </c>
      <c r="C37" s="8" t="s">
        <v>167</v>
      </c>
      <c r="D37" s="12">
        <v>24065.85</v>
      </c>
      <c r="E37" s="9">
        <v>9</v>
      </c>
      <c r="F37" s="9">
        <v>15</v>
      </c>
      <c r="G37" s="19">
        <v>1604.39</v>
      </c>
      <c r="H37" s="11">
        <v>1.67</v>
      </c>
      <c r="I37" s="12">
        <v>721.98</v>
      </c>
      <c r="J37" s="10">
        <v>3.3500000000000002E-2</v>
      </c>
      <c r="K37" s="10">
        <v>6.6400000000000001E-2</v>
      </c>
    </row>
    <row r="38" spans="1:11" ht="15" customHeight="1" x14ac:dyDescent="0.2">
      <c r="A38" s="3">
        <v>37</v>
      </c>
      <c r="B38" s="3" t="s">
        <v>197</v>
      </c>
      <c r="C38" s="3" t="s">
        <v>161</v>
      </c>
      <c r="D38" s="7">
        <v>22448.639999999999</v>
      </c>
      <c r="E38" s="4">
        <v>15</v>
      </c>
      <c r="F38" s="4">
        <v>24</v>
      </c>
      <c r="G38" s="18">
        <v>935.36</v>
      </c>
      <c r="H38" s="6">
        <v>1.6</v>
      </c>
      <c r="I38" s="7">
        <v>673.46</v>
      </c>
      <c r="J38" s="5">
        <v>7.2700000000000001E-2</v>
      </c>
      <c r="K38" s="5">
        <v>7.4099999999999999E-2</v>
      </c>
    </row>
    <row r="39" spans="1:11" ht="15" customHeight="1" x14ac:dyDescent="0.2">
      <c r="A39" s="8">
        <v>38</v>
      </c>
      <c r="B39" s="8" t="s">
        <v>198</v>
      </c>
      <c r="C39" s="8" t="s">
        <v>170</v>
      </c>
      <c r="D39" s="12">
        <v>22431.99</v>
      </c>
      <c r="E39" s="9">
        <v>23</v>
      </c>
      <c r="F39" s="9">
        <v>37</v>
      </c>
      <c r="G39" s="19">
        <v>606.27</v>
      </c>
      <c r="H39" s="11">
        <v>1.61</v>
      </c>
      <c r="I39" s="12">
        <v>672.96</v>
      </c>
      <c r="J39" s="10">
        <v>5.4699999999999999E-2</v>
      </c>
      <c r="K39" s="10">
        <v>3.2000000000000001E-2</v>
      </c>
    </row>
    <row r="40" spans="1:11" ht="15" customHeight="1" x14ac:dyDescent="0.2">
      <c r="A40" s="3">
        <v>39</v>
      </c>
      <c r="B40" s="3" t="s">
        <v>199</v>
      </c>
      <c r="C40" s="3" t="s">
        <v>155</v>
      </c>
      <c r="D40" s="7">
        <v>19996.84</v>
      </c>
      <c r="E40" s="4">
        <v>2</v>
      </c>
      <c r="F40" s="4">
        <v>4</v>
      </c>
      <c r="G40" s="18">
        <v>4999.21</v>
      </c>
      <c r="H40" s="6">
        <v>2</v>
      </c>
      <c r="I40" s="7">
        <v>0</v>
      </c>
      <c r="J40" s="5">
        <v>2.7699999999999999E-2</v>
      </c>
      <c r="K40" s="5">
        <v>2.7000000000000001E-3</v>
      </c>
    </row>
    <row r="41" spans="1:11" ht="15" customHeight="1" x14ac:dyDescent="0.2">
      <c r="A41" s="8">
        <v>40</v>
      </c>
      <c r="B41" s="8" t="s">
        <v>200</v>
      </c>
      <c r="C41" s="8" t="s">
        <v>201</v>
      </c>
      <c r="D41" s="12">
        <v>18578.919999999998</v>
      </c>
      <c r="E41" s="9">
        <v>2</v>
      </c>
      <c r="F41" s="9">
        <v>4</v>
      </c>
      <c r="G41" s="19">
        <v>4644.7299999999996</v>
      </c>
      <c r="H41" s="11">
        <v>2</v>
      </c>
      <c r="I41" s="12">
        <v>0</v>
      </c>
      <c r="J41" s="10">
        <v>2.5100000000000001E-2</v>
      </c>
      <c r="K41" s="10">
        <v>0.104</v>
      </c>
    </row>
    <row r="42" spans="1:11" ht="15" customHeight="1" x14ac:dyDescent="0.2">
      <c r="A42" s="3">
        <v>41</v>
      </c>
      <c r="B42" s="3" t="s">
        <v>202</v>
      </c>
      <c r="C42" s="3" t="s">
        <v>170</v>
      </c>
      <c r="D42" s="7">
        <v>18095.04</v>
      </c>
      <c r="E42" s="4">
        <v>3</v>
      </c>
      <c r="F42" s="4">
        <v>6</v>
      </c>
      <c r="G42" s="18">
        <v>3015.84</v>
      </c>
      <c r="H42" s="6">
        <v>2</v>
      </c>
      <c r="I42" s="7">
        <v>361.9</v>
      </c>
      <c r="J42" s="5">
        <v>1.38E-2</v>
      </c>
      <c r="K42" s="5">
        <v>7.0999999999999994E-2</v>
      </c>
    </row>
    <row r="43" spans="1:11" ht="15" customHeight="1" x14ac:dyDescent="0.2">
      <c r="A43" s="8">
        <v>42</v>
      </c>
      <c r="B43" s="8" t="s">
        <v>203</v>
      </c>
      <c r="C43" s="8" t="s">
        <v>170</v>
      </c>
      <c r="D43" s="12">
        <v>17854.86</v>
      </c>
      <c r="E43" s="9">
        <v>4</v>
      </c>
      <c r="F43" s="9">
        <v>6</v>
      </c>
      <c r="G43" s="19">
        <v>2975.81</v>
      </c>
      <c r="H43" s="11">
        <v>1.5</v>
      </c>
      <c r="I43" s="12">
        <v>178.55</v>
      </c>
      <c r="J43" s="10">
        <v>5.7099999999999998E-2</v>
      </c>
      <c r="K43" s="10">
        <v>0.10829999999999999</v>
      </c>
    </row>
    <row r="44" spans="1:11" ht="15" customHeight="1" x14ac:dyDescent="0.2">
      <c r="A44" s="3">
        <v>43</v>
      </c>
      <c r="B44" s="3" t="s">
        <v>204</v>
      </c>
      <c r="C44" s="3" t="s">
        <v>161</v>
      </c>
      <c r="D44" s="7">
        <v>17852.8</v>
      </c>
      <c r="E44" s="4">
        <v>57</v>
      </c>
      <c r="F44" s="4">
        <v>80</v>
      </c>
      <c r="G44" s="18">
        <v>223.16</v>
      </c>
      <c r="H44" s="6">
        <v>1.4</v>
      </c>
      <c r="I44" s="7">
        <v>178.53</v>
      </c>
      <c r="J44" s="5">
        <v>6.8199999999999997E-2</v>
      </c>
      <c r="K44" s="5">
        <v>7.0699999999999999E-2</v>
      </c>
    </row>
    <row r="45" spans="1:11" ht="15" customHeight="1" x14ac:dyDescent="0.2">
      <c r="A45" s="8">
        <v>44</v>
      </c>
      <c r="B45" s="8" t="s">
        <v>205</v>
      </c>
      <c r="C45" s="8" t="s">
        <v>173</v>
      </c>
      <c r="D45" s="12">
        <v>17758.919999999998</v>
      </c>
      <c r="E45" s="9">
        <v>8</v>
      </c>
      <c r="F45" s="9">
        <v>12</v>
      </c>
      <c r="G45" s="19">
        <v>1479.91</v>
      </c>
      <c r="H45" s="11">
        <v>1.5</v>
      </c>
      <c r="I45" s="12">
        <v>532.77</v>
      </c>
      <c r="J45" s="10">
        <v>9.4999999999999998E-3</v>
      </c>
      <c r="K45" s="10">
        <v>1.8800000000000001E-2</v>
      </c>
    </row>
    <row r="46" spans="1:11" ht="15" customHeight="1" x14ac:dyDescent="0.2">
      <c r="A46" s="3">
        <v>45</v>
      </c>
      <c r="B46" s="3" t="s">
        <v>206</v>
      </c>
      <c r="C46" s="3" t="s">
        <v>201</v>
      </c>
      <c r="D46" s="7">
        <v>16102.8</v>
      </c>
      <c r="E46" s="4">
        <v>15</v>
      </c>
      <c r="F46" s="4">
        <v>20</v>
      </c>
      <c r="G46" s="18">
        <v>805.14</v>
      </c>
      <c r="H46" s="6">
        <v>1.33</v>
      </c>
      <c r="I46" s="7">
        <v>0</v>
      </c>
      <c r="J46" s="5">
        <v>9.5999999999999992E-3</v>
      </c>
      <c r="K46" s="5">
        <v>5.11E-2</v>
      </c>
    </row>
    <row r="47" spans="1:11" ht="15" customHeight="1" x14ac:dyDescent="0.2">
      <c r="A47" s="8">
        <v>46</v>
      </c>
      <c r="B47" s="8" t="s">
        <v>207</v>
      </c>
      <c r="C47" s="8" t="s">
        <v>161</v>
      </c>
      <c r="D47" s="12">
        <v>15810.66</v>
      </c>
      <c r="E47" s="9">
        <v>46</v>
      </c>
      <c r="F47" s="9">
        <v>57</v>
      </c>
      <c r="G47" s="19">
        <v>277.38</v>
      </c>
      <c r="H47" s="11">
        <v>1.24</v>
      </c>
      <c r="I47" s="12">
        <v>0</v>
      </c>
      <c r="J47" s="10">
        <v>4.5999999999999999E-3</v>
      </c>
      <c r="K47" s="10">
        <v>5.1299999999999998E-2</v>
      </c>
    </row>
    <row r="48" spans="1:11" ht="15" customHeight="1" x14ac:dyDescent="0.2">
      <c r="A48" s="3">
        <v>47</v>
      </c>
      <c r="B48" s="3" t="s">
        <v>208</v>
      </c>
      <c r="C48" s="3" t="s">
        <v>173</v>
      </c>
      <c r="D48" s="7">
        <v>13742.68</v>
      </c>
      <c r="E48" s="4">
        <v>1</v>
      </c>
      <c r="F48" s="4">
        <v>2</v>
      </c>
      <c r="G48" s="18">
        <v>6871.34</v>
      </c>
      <c r="H48" s="6">
        <v>2</v>
      </c>
      <c r="I48" s="7">
        <v>0</v>
      </c>
      <c r="J48" s="5">
        <v>2.4199999999999999E-2</v>
      </c>
      <c r="K48" s="5">
        <v>5.5199999999999999E-2</v>
      </c>
    </row>
    <row r="49" spans="1:11" ht="15" customHeight="1" x14ac:dyDescent="0.2">
      <c r="A49" s="8">
        <v>48</v>
      </c>
      <c r="B49" s="8" t="s">
        <v>209</v>
      </c>
      <c r="C49" s="8" t="s">
        <v>161</v>
      </c>
      <c r="D49" s="12">
        <v>12750.4</v>
      </c>
      <c r="E49" s="9">
        <v>18</v>
      </c>
      <c r="F49" s="9">
        <v>26</v>
      </c>
      <c r="G49" s="19">
        <v>490.4</v>
      </c>
      <c r="H49" s="11">
        <v>1.44</v>
      </c>
      <c r="I49" s="12">
        <v>382.51</v>
      </c>
      <c r="J49" s="10">
        <v>6.0199999999999997E-2</v>
      </c>
      <c r="K49" s="10">
        <v>7.5700000000000003E-2</v>
      </c>
    </row>
    <row r="50" spans="1:11" ht="15" customHeight="1" x14ac:dyDescent="0.2">
      <c r="A50" s="3">
        <v>49</v>
      </c>
      <c r="B50" s="3" t="s">
        <v>210</v>
      </c>
      <c r="C50" s="3" t="s">
        <v>170</v>
      </c>
      <c r="D50" s="7">
        <v>12196.38</v>
      </c>
      <c r="E50" s="4">
        <v>4</v>
      </c>
      <c r="F50" s="4">
        <v>6</v>
      </c>
      <c r="G50" s="18">
        <v>2032.73</v>
      </c>
      <c r="H50" s="6">
        <v>1.5</v>
      </c>
      <c r="I50" s="7">
        <v>0</v>
      </c>
      <c r="J50" s="5">
        <v>2.3999999999999998E-3</v>
      </c>
      <c r="K50" s="5">
        <v>5.62E-2</v>
      </c>
    </row>
    <row r="51" spans="1:11" ht="15" customHeight="1" x14ac:dyDescent="0.2">
      <c r="A51" s="8">
        <v>50</v>
      </c>
      <c r="B51" s="8" t="s">
        <v>211</v>
      </c>
      <c r="C51" s="8" t="s">
        <v>161</v>
      </c>
      <c r="D51" s="12">
        <v>11614.08</v>
      </c>
      <c r="E51" s="9">
        <v>15</v>
      </c>
      <c r="F51" s="9">
        <v>24</v>
      </c>
      <c r="G51" s="19">
        <v>483.92</v>
      </c>
      <c r="H51" s="11">
        <v>1.6</v>
      </c>
      <c r="I51" s="12">
        <v>348.42</v>
      </c>
      <c r="J51" s="10">
        <v>2.58E-2</v>
      </c>
      <c r="K51" s="10">
        <v>2.18E-2</v>
      </c>
    </row>
    <row r="52" spans="1:11" ht="15" customHeight="1" x14ac:dyDescent="0.2">
      <c r="A52" s="3">
        <v>51</v>
      </c>
      <c r="B52" s="3" t="s">
        <v>212</v>
      </c>
      <c r="C52" s="3" t="s">
        <v>170</v>
      </c>
      <c r="D52" s="7">
        <v>9642.1200000000008</v>
      </c>
      <c r="E52" s="4">
        <v>41</v>
      </c>
      <c r="F52" s="4">
        <v>57</v>
      </c>
      <c r="G52" s="18">
        <v>169.16</v>
      </c>
      <c r="H52" s="6">
        <v>1.39</v>
      </c>
      <c r="I52" s="7">
        <v>0</v>
      </c>
      <c r="J52" s="5">
        <v>3.9199999999999999E-2</v>
      </c>
      <c r="K52" s="5">
        <v>4.6600000000000003E-2</v>
      </c>
    </row>
    <row r="53" spans="1:11" ht="15" customHeight="1" x14ac:dyDescent="0.2">
      <c r="A53" s="8">
        <v>52</v>
      </c>
      <c r="B53" s="8" t="s">
        <v>213</v>
      </c>
      <c r="C53" s="8" t="s">
        <v>161</v>
      </c>
      <c r="D53" s="12">
        <v>8791.2900000000009</v>
      </c>
      <c r="E53" s="9">
        <v>109</v>
      </c>
      <c r="F53" s="9">
        <v>137</v>
      </c>
      <c r="G53" s="19">
        <v>64.17</v>
      </c>
      <c r="H53" s="11">
        <v>1.26</v>
      </c>
      <c r="I53" s="12">
        <v>175.83</v>
      </c>
      <c r="J53" s="10">
        <v>5.1299999999999998E-2</v>
      </c>
      <c r="K53" s="10">
        <v>1.5E-3</v>
      </c>
    </row>
    <row r="54" spans="1:11" ht="15" customHeight="1" x14ac:dyDescent="0.2">
      <c r="A54" s="3">
        <v>53</v>
      </c>
      <c r="B54" s="3" t="s">
        <v>214</v>
      </c>
      <c r="C54" s="3" t="s">
        <v>161</v>
      </c>
      <c r="D54" s="7">
        <v>6846.64</v>
      </c>
      <c r="E54" s="4">
        <v>41</v>
      </c>
      <c r="F54" s="4">
        <v>61</v>
      </c>
      <c r="G54" s="18">
        <v>112.24</v>
      </c>
      <c r="H54" s="6">
        <v>1.49</v>
      </c>
      <c r="I54" s="7">
        <v>0</v>
      </c>
      <c r="J54" s="5">
        <v>6.0400000000000002E-2</v>
      </c>
      <c r="K54" s="5">
        <v>6.0699999999999997E-2</v>
      </c>
    </row>
    <row r="55" spans="1:11" ht="15" customHeight="1" x14ac:dyDescent="0.2">
      <c r="A55" s="8">
        <v>54</v>
      </c>
      <c r="B55" s="8" t="s">
        <v>215</v>
      </c>
      <c r="C55" s="8" t="s">
        <v>161</v>
      </c>
      <c r="D55" s="12">
        <v>6600.96</v>
      </c>
      <c r="E55" s="9">
        <v>69</v>
      </c>
      <c r="F55" s="9">
        <v>96</v>
      </c>
      <c r="G55" s="19">
        <v>68.760000000000005</v>
      </c>
      <c r="H55" s="11">
        <v>1.39</v>
      </c>
      <c r="I55" s="12">
        <v>0</v>
      </c>
      <c r="J55" s="10">
        <v>1.95E-2</v>
      </c>
      <c r="K55" s="10">
        <v>0.1181</v>
      </c>
    </row>
    <row r="56" spans="1:11" ht="15" customHeight="1" x14ac:dyDescent="0.2">
      <c r="A56" s="3">
        <v>55</v>
      </c>
      <c r="B56" s="3" t="s">
        <v>216</v>
      </c>
      <c r="C56" s="3" t="s">
        <v>161</v>
      </c>
      <c r="D56" s="7">
        <v>6096</v>
      </c>
      <c r="E56" s="4">
        <v>49</v>
      </c>
      <c r="F56" s="4">
        <v>64</v>
      </c>
      <c r="G56" s="18">
        <v>95.25</v>
      </c>
      <c r="H56" s="6">
        <v>1.31</v>
      </c>
      <c r="I56" s="7">
        <v>0</v>
      </c>
      <c r="J56" s="5">
        <v>2.7099999999999999E-2</v>
      </c>
      <c r="K56" s="5">
        <v>2.6800000000000001E-2</v>
      </c>
    </row>
    <row r="57" spans="1:11" ht="15" customHeight="1" x14ac:dyDescent="0.2">
      <c r="A57" s="8">
        <v>56</v>
      </c>
      <c r="B57" s="8" t="s">
        <v>217</v>
      </c>
      <c r="C57" s="8" t="s">
        <v>201</v>
      </c>
      <c r="D57" s="12">
        <v>6093.39</v>
      </c>
      <c r="E57" s="9">
        <v>16</v>
      </c>
      <c r="F57" s="9">
        <v>23</v>
      </c>
      <c r="G57" s="19">
        <v>264.93</v>
      </c>
      <c r="H57" s="11">
        <v>1.44</v>
      </c>
      <c r="I57" s="12">
        <v>0</v>
      </c>
      <c r="J57" s="10">
        <v>4.1300000000000003E-2</v>
      </c>
      <c r="K57" s="10">
        <v>4.3799999999999999E-2</v>
      </c>
    </row>
    <row r="58" spans="1:11" ht="15" customHeight="1" x14ac:dyDescent="0.2">
      <c r="A58" s="3">
        <v>57</v>
      </c>
      <c r="B58" s="3" t="s">
        <v>218</v>
      </c>
      <c r="C58" s="3" t="s">
        <v>161</v>
      </c>
      <c r="D58" s="7">
        <v>5876.12</v>
      </c>
      <c r="E58" s="4">
        <v>30</v>
      </c>
      <c r="F58" s="4">
        <v>41</v>
      </c>
      <c r="G58" s="18">
        <v>143.32</v>
      </c>
      <c r="H58" s="6">
        <v>1.37</v>
      </c>
      <c r="I58" s="7">
        <v>0</v>
      </c>
      <c r="J58" s="5">
        <v>6.8000000000000005E-2</v>
      </c>
      <c r="K58" s="5">
        <v>6.9999999999999999E-4</v>
      </c>
    </row>
    <row r="59" spans="1:11" ht="15" customHeight="1" x14ac:dyDescent="0.2">
      <c r="A59" s="8">
        <v>58</v>
      </c>
      <c r="B59" s="8" t="s">
        <v>219</v>
      </c>
      <c r="C59" s="8" t="s">
        <v>161</v>
      </c>
      <c r="D59" s="12">
        <v>5707.8</v>
      </c>
      <c r="E59" s="9">
        <v>51</v>
      </c>
      <c r="F59" s="9">
        <v>63</v>
      </c>
      <c r="G59" s="19">
        <v>90.6</v>
      </c>
      <c r="H59" s="11">
        <v>1.24</v>
      </c>
      <c r="I59" s="12">
        <v>57.08</v>
      </c>
      <c r="J59" s="10">
        <v>6.8400000000000002E-2</v>
      </c>
      <c r="K59" s="10">
        <v>3.56E-2</v>
      </c>
    </row>
    <row r="60" spans="1:11" ht="15" customHeight="1" x14ac:dyDescent="0.2">
      <c r="A60" s="3">
        <v>59</v>
      </c>
      <c r="B60" s="3" t="s">
        <v>220</v>
      </c>
      <c r="C60" s="3" t="s">
        <v>161</v>
      </c>
      <c r="D60" s="7">
        <v>5294.96</v>
      </c>
      <c r="E60" s="4">
        <v>73</v>
      </c>
      <c r="F60" s="4">
        <v>121</v>
      </c>
      <c r="G60" s="18">
        <v>43.76</v>
      </c>
      <c r="H60" s="6">
        <v>1.66</v>
      </c>
      <c r="I60" s="7">
        <v>0</v>
      </c>
      <c r="J60" s="5">
        <v>6.6900000000000001E-2</v>
      </c>
      <c r="K60" s="5">
        <v>0.13850000000000001</v>
      </c>
    </row>
    <row r="61" spans="1:11" ht="15" customHeight="1" x14ac:dyDescent="0.2">
      <c r="A61" s="8">
        <v>60</v>
      </c>
      <c r="B61" s="8" t="s">
        <v>221</v>
      </c>
      <c r="C61" s="8" t="s">
        <v>161</v>
      </c>
      <c r="D61" s="12">
        <v>2960.55</v>
      </c>
      <c r="E61" s="9">
        <v>39</v>
      </c>
      <c r="F61" s="9">
        <v>45</v>
      </c>
      <c r="G61" s="19">
        <v>65.790000000000006</v>
      </c>
      <c r="H61" s="11">
        <v>1.1499999999999999</v>
      </c>
      <c r="I61" s="12">
        <v>0</v>
      </c>
      <c r="J61" s="10">
        <v>3.5999999999999999E-3</v>
      </c>
      <c r="K61" s="10">
        <v>3.2599999999999997E-2</v>
      </c>
    </row>
    <row r="62" spans="1:11" ht="15" customHeight="1" x14ac:dyDescent="0.2">
      <c r="A62" s="3">
        <v>61</v>
      </c>
      <c r="B62" s="3" t="s">
        <v>222</v>
      </c>
      <c r="C62" s="3" t="s">
        <v>161</v>
      </c>
      <c r="D62" s="7">
        <v>2379.14</v>
      </c>
      <c r="E62" s="4">
        <v>42</v>
      </c>
      <c r="F62" s="4">
        <v>47</v>
      </c>
      <c r="G62" s="18">
        <v>50.62</v>
      </c>
      <c r="H62" s="6">
        <v>1.1200000000000001</v>
      </c>
      <c r="I62" s="7">
        <v>0</v>
      </c>
      <c r="J62" s="5">
        <v>6.5100000000000005E-2</v>
      </c>
      <c r="K62" s="5">
        <v>4.4600000000000001E-2</v>
      </c>
    </row>
    <row r="63" spans="1:11" ht="15" customHeight="1" x14ac:dyDescent="0.2">
      <c r="A63" s="13"/>
      <c r="B63" s="13" t="s">
        <v>36</v>
      </c>
      <c r="C63" s="13"/>
      <c r="D63" s="17">
        <f>SUM(D2:D62)</f>
        <v>3183211.3299999996</v>
      </c>
      <c r="E63" s="14">
        <f>SUM(E2:E62)</f>
        <v>1273</v>
      </c>
      <c r="F63" s="14">
        <f>SUM(F2:F62)</f>
        <v>1751</v>
      </c>
      <c r="G63" s="20"/>
      <c r="H63" s="16"/>
      <c r="I63" s="17">
        <f>SUM(I2:I62)</f>
        <v>37881.78</v>
      </c>
      <c r="J63" s="15"/>
      <c r="K63" s="15"/>
    </row>
    <row r="65" spans="1:11" ht="45" customHeight="1" x14ac:dyDescent="0.2">
      <c r="A65" s="109" t="s">
        <v>223</v>
      </c>
      <c r="B65" s="109"/>
      <c r="C65" s="109"/>
      <c r="D65" s="109"/>
      <c r="E65" s="109"/>
      <c r="F65" s="109"/>
      <c r="G65" s="109"/>
      <c r="H65" s="109"/>
      <c r="I65" s="109"/>
      <c r="J65" s="109"/>
      <c r="K65" s="109"/>
    </row>
  </sheetData>
  <mergeCells count="1">
    <mergeCell ref="A65:K6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6"/>
  <sheetViews>
    <sheetView zoomScaleNormal="100" workbookViewId="0">
      <pane ySplit="1" topLeftCell="A2" activePane="bottomLeft" state="frozen"/>
      <selection pane="bottomLeft" activeCell="H2" sqref="H2"/>
    </sheetView>
  </sheetViews>
  <sheetFormatPr baseColWidth="10" defaultColWidth="8.6640625" defaultRowHeight="15" x14ac:dyDescent="0.2"/>
  <cols>
    <col min="1" max="1" width="18" customWidth="1"/>
    <col min="2" max="4" width="13" customWidth="1"/>
    <col min="5" max="5" width="17" customWidth="1"/>
    <col min="6" max="6" width="11" customWidth="1"/>
    <col min="7" max="8" width="20" customWidth="1"/>
  </cols>
  <sheetData>
    <row r="1" spans="1:8" ht="27.75" customHeight="1" x14ac:dyDescent="0.2">
      <c r="A1" s="2" t="s">
        <v>224</v>
      </c>
      <c r="B1" s="2" t="s">
        <v>225</v>
      </c>
      <c r="C1" s="2" t="s">
        <v>226</v>
      </c>
      <c r="D1" s="2" t="s">
        <v>227</v>
      </c>
      <c r="E1" s="2" t="s">
        <v>228</v>
      </c>
      <c r="F1" s="2" t="s">
        <v>229</v>
      </c>
      <c r="G1" s="2" t="s">
        <v>230</v>
      </c>
      <c r="H1" s="2" t="s">
        <v>231</v>
      </c>
    </row>
    <row r="2" spans="1:8" ht="15" customHeight="1" x14ac:dyDescent="0.2">
      <c r="A2" s="3" t="s">
        <v>232</v>
      </c>
      <c r="B2" s="4">
        <v>268400</v>
      </c>
      <c r="C2" s="4">
        <v>34900</v>
      </c>
      <c r="D2" s="4">
        <v>1980</v>
      </c>
      <c r="E2" s="4">
        <v>1470</v>
      </c>
      <c r="F2" s="4">
        <v>640</v>
      </c>
      <c r="G2" s="4">
        <v>590</v>
      </c>
      <c r="H2" s="4">
        <v>50</v>
      </c>
    </row>
    <row r="3" spans="1:8" ht="15" customHeight="1" x14ac:dyDescent="0.2">
      <c r="A3" s="8" t="s">
        <v>233</v>
      </c>
      <c r="B3" s="9">
        <v>95370</v>
      </c>
      <c r="C3" s="9">
        <v>9800</v>
      </c>
      <c r="D3" s="9">
        <v>1140</v>
      </c>
      <c r="E3" s="9">
        <v>810</v>
      </c>
      <c r="F3" s="9">
        <v>480</v>
      </c>
      <c r="G3" s="9">
        <v>430</v>
      </c>
      <c r="H3" s="9">
        <v>141</v>
      </c>
    </row>
    <row r="4" spans="1:8" ht="15" customHeight="1" x14ac:dyDescent="0.2">
      <c r="A4" s="13" t="s">
        <v>36</v>
      </c>
      <c r="B4" s="14">
        <f t="shared" ref="B4:H4" si="0">SUM(B2:B3)</f>
        <v>363770</v>
      </c>
      <c r="C4" s="14">
        <f t="shared" si="0"/>
        <v>44700</v>
      </c>
      <c r="D4" s="14">
        <f t="shared" si="0"/>
        <v>3120</v>
      </c>
      <c r="E4" s="14">
        <f t="shared" si="0"/>
        <v>2280</v>
      </c>
      <c r="F4" s="14">
        <f t="shared" si="0"/>
        <v>1120</v>
      </c>
      <c r="G4" s="14">
        <f t="shared" si="0"/>
        <v>1020</v>
      </c>
      <c r="H4" s="14">
        <f t="shared" si="0"/>
        <v>191</v>
      </c>
    </row>
    <row r="6" spans="1:8" ht="45" customHeight="1" x14ac:dyDescent="0.2">
      <c r="A6" s="109" t="s">
        <v>234</v>
      </c>
      <c r="B6" s="109"/>
      <c r="C6" s="109"/>
      <c r="D6" s="109"/>
      <c r="E6" s="109"/>
      <c r="F6" s="109"/>
      <c r="G6" s="109"/>
      <c r="H6" s="109"/>
    </row>
  </sheetData>
  <mergeCells count="1">
    <mergeCell ref="A6:H6"/>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Normal="100" workbookViewId="0">
      <pane ySplit="1" topLeftCell="A2" activePane="bottomLeft" state="frozen"/>
      <selection pane="bottomLeft" activeCell="G15" sqref="G15"/>
    </sheetView>
  </sheetViews>
  <sheetFormatPr baseColWidth="10" defaultColWidth="8.6640625" defaultRowHeight="15" x14ac:dyDescent="0.2"/>
  <cols>
    <col min="1" max="2" width="20" customWidth="1"/>
    <col min="3" max="3" width="24" customWidth="1"/>
    <col min="4" max="4" width="15" customWidth="1"/>
    <col min="5" max="5" width="18" customWidth="1"/>
    <col min="6" max="7" width="16" customWidth="1"/>
    <col min="8" max="8" width="15" customWidth="1"/>
  </cols>
  <sheetData>
    <row r="1" spans="1:8" ht="27.75" customHeight="1" x14ac:dyDescent="0.2">
      <c r="A1" s="2" t="s">
        <v>235</v>
      </c>
      <c r="B1" s="2" t="s">
        <v>236</v>
      </c>
      <c r="C1" s="2" t="s">
        <v>237</v>
      </c>
      <c r="D1" s="2" t="s">
        <v>238</v>
      </c>
      <c r="E1" s="2" t="s">
        <v>239</v>
      </c>
      <c r="F1" s="2" t="s">
        <v>240</v>
      </c>
      <c r="G1" s="2" t="s">
        <v>241</v>
      </c>
      <c r="H1" s="2" t="s">
        <v>242</v>
      </c>
    </row>
    <row r="2" spans="1:8" ht="15" customHeight="1" x14ac:dyDescent="0.2">
      <c r="A2" s="3" t="s">
        <v>243</v>
      </c>
      <c r="B2" s="7">
        <v>58667</v>
      </c>
      <c r="C2" s="7">
        <v>49333</v>
      </c>
      <c r="D2" s="7">
        <v>8000</v>
      </c>
      <c r="E2" s="7">
        <v>200000</v>
      </c>
      <c r="F2" s="7">
        <v>316000</v>
      </c>
      <c r="G2" s="7">
        <v>140000</v>
      </c>
      <c r="H2" s="4">
        <v>30</v>
      </c>
    </row>
    <row r="3" spans="1:8" ht="15" customHeight="1" x14ac:dyDescent="0.2">
      <c r="A3" s="8" t="s">
        <v>244</v>
      </c>
      <c r="B3" s="12">
        <v>88000</v>
      </c>
      <c r="C3" s="12">
        <v>74000</v>
      </c>
      <c r="D3" s="12">
        <v>12000</v>
      </c>
      <c r="E3" s="12">
        <v>300000</v>
      </c>
      <c r="F3" s="12">
        <v>474000</v>
      </c>
      <c r="G3" s="12">
        <v>480000</v>
      </c>
      <c r="H3" s="9">
        <v>105</v>
      </c>
    </row>
    <row r="4" spans="1:8" ht="15" customHeight="1" x14ac:dyDescent="0.2">
      <c r="A4" s="3" t="s">
        <v>245</v>
      </c>
      <c r="B4" s="7">
        <v>88000</v>
      </c>
      <c r="C4" s="7">
        <v>74000</v>
      </c>
      <c r="D4" s="7">
        <v>12000</v>
      </c>
      <c r="E4" s="7">
        <v>300000</v>
      </c>
      <c r="F4" s="7">
        <v>474000</v>
      </c>
      <c r="G4" s="7">
        <v>560000</v>
      </c>
      <c r="H4" s="4">
        <v>122</v>
      </c>
    </row>
    <row r="5" spans="1:8" ht="15" customHeight="1" x14ac:dyDescent="0.2">
      <c r="A5" s="8" t="s">
        <v>246</v>
      </c>
      <c r="B5" s="12">
        <v>88000</v>
      </c>
      <c r="C5" s="12">
        <v>74000</v>
      </c>
      <c r="D5" s="12">
        <v>12000</v>
      </c>
      <c r="E5" s="12">
        <v>300000</v>
      </c>
      <c r="F5" s="12">
        <v>474000</v>
      </c>
      <c r="G5" s="12">
        <v>610000</v>
      </c>
      <c r="H5" s="9">
        <v>133</v>
      </c>
    </row>
    <row r="6" spans="1:8" ht="15" customHeight="1" x14ac:dyDescent="0.2">
      <c r="A6" s="3" t="s">
        <v>247</v>
      </c>
      <c r="B6" s="7">
        <v>88000</v>
      </c>
      <c r="C6" s="7">
        <v>74000</v>
      </c>
      <c r="D6" s="7">
        <v>12000</v>
      </c>
      <c r="E6" s="7">
        <v>300000</v>
      </c>
      <c r="F6" s="7">
        <v>474000</v>
      </c>
      <c r="G6" s="7">
        <v>650000</v>
      </c>
      <c r="H6" s="4">
        <v>140</v>
      </c>
    </row>
    <row r="7" spans="1:8" ht="15" customHeight="1" x14ac:dyDescent="0.2">
      <c r="A7" s="8" t="s">
        <v>248</v>
      </c>
      <c r="B7" s="12">
        <v>88000</v>
      </c>
      <c r="C7" s="12">
        <v>74000</v>
      </c>
      <c r="D7" s="12">
        <v>12000</v>
      </c>
      <c r="E7" s="12">
        <v>300000</v>
      </c>
      <c r="F7" s="12">
        <v>474000</v>
      </c>
      <c r="G7" s="12">
        <v>700000</v>
      </c>
      <c r="H7" s="9">
        <v>150</v>
      </c>
    </row>
    <row r="8" spans="1:8" ht="15" customHeight="1" x14ac:dyDescent="0.2">
      <c r="A8" s="3" t="s">
        <v>249</v>
      </c>
      <c r="B8" s="7">
        <v>88000</v>
      </c>
      <c r="C8" s="7">
        <v>74000</v>
      </c>
      <c r="D8" s="7">
        <v>12000</v>
      </c>
      <c r="E8" s="7">
        <v>300000</v>
      </c>
      <c r="F8" s="7">
        <v>474000</v>
      </c>
      <c r="G8" s="7">
        <v>760000</v>
      </c>
      <c r="H8" s="4">
        <v>163</v>
      </c>
    </row>
    <row r="9" spans="1:8" ht="15" customHeight="1" x14ac:dyDescent="0.2">
      <c r="A9" s="8" t="s">
        <v>250</v>
      </c>
      <c r="B9" s="12">
        <v>88000</v>
      </c>
      <c r="C9" s="12">
        <v>74000</v>
      </c>
      <c r="D9" s="12">
        <v>12000</v>
      </c>
      <c r="E9" s="12">
        <v>300000</v>
      </c>
      <c r="F9" s="12">
        <v>474000</v>
      </c>
      <c r="G9" s="12">
        <v>790000</v>
      </c>
      <c r="H9" s="9">
        <v>168</v>
      </c>
    </row>
    <row r="10" spans="1:8" ht="15" customHeight="1" x14ac:dyDescent="0.2">
      <c r="A10" s="3" t="s">
        <v>251</v>
      </c>
      <c r="B10" s="7">
        <v>88000</v>
      </c>
      <c r="C10" s="7">
        <v>74000</v>
      </c>
      <c r="D10" s="7">
        <v>12000</v>
      </c>
      <c r="E10" s="7">
        <v>300000</v>
      </c>
      <c r="F10" s="7">
        <v>474000</v>
      </c>
      <c r="G10" s="7">
        <v>740000</v>
      </c>
      <c r="H10" s="4">
        <v>158</v>
      </c>
    </row>
    <row r="11" spans="1:8" ht="15" customHeight="1" x14ac:dyDescent="0.2">
      <c r="A11" s="8" t="s">
        <v>252</v>
      </c>
      <c r="B11" s="12">
        <v>88000</v>
      </c>
      <c r="C11" s="12">
        <v>74000</v>
      </c>
      <c r="D11" s="12">
        <v>12000</v>
      </c>
      <c r="E11" s="12">
        <v>300000</v>
      </c>
      <c r="F11" s="12">
        <v>474000</v>
      </c>
      <c r="G11" s="12">
        <v>690000</v>
      </c>
      <c r="H11" s="9">
        <v>148</v>
      </c>
    </row>
    <row r="12" spans="1:8" ht="15" customHeight="1" x14ac:dyDescent="0.2">
      <c r="A12" s="3" t="s">
        <v>253</v>
      </c>
      <c r="B12" s="7">
        <v>88000</v>
      </c>
      <c r="C12" s="7">
        <v>74000</v>
      </c>
      <c r="D12" s="7">
        <v>12000</v>
      </c>
      <c r="E12" s="7">
        <v>300000</v>
      </c>
      <c r="F12" s="7">
        <v>474000</v>
      </c>
      <c r="G12" s="7">
        <v>610000</v>
      </c>
      <c r="H12" s="4">
        <v>131</v>
      </c>
    </row>
    <row r="13" spans="1:8" ht="15" customHeight="1" x14ac:dyDescent="0.2">
      <c r="A13" s="8" t="s">
        <v>254</v>
      </c>
      <c r="B13" s="12">
        <v>88000</v>
      </c>
      <c r="C13" s="12">
        <v>74000</v>
      </c>
      <c r="D13" s="12">
        <v>12000</v>
      </c>
      <c r="E13" s="12">
        <v>300000</v>
      </c>
      <c r="F13" s="12">
        <v>474000</v>
      </c>
      <c r="G13" s="12">
        <v>540000</v>
      </c>
      <c r="H13" s="9">
        <v>116</v>
      </c>
    </row>
    <row r="14" spans="1:8" ht="15" customHeight="1" x14ac:dyDescent="0.2">
      <c r="A14" s="3" t="s">
        <v>255</v>
      </c>
      <c r="B14" s="7">
        <v>58667</v>
      </c>
      <c r="C14" s="7">
        <v>49333</v>
      </c>
      <c r="D14" s="7">
        <v>8000</v>
      </c>
      <c r="E14" s="7">
        <v>200000</v>
      </c>
      <c r="F14" s="7">
        <v>316000</v>
      </c>
      <c r="G14" s="7">
        <v>320000</v>
      </c>
      <c r="H14" s="4">
        <v>68</v>
      </c>
    </row>
    <row r="15" spans="1:8" ht="15" customHeight="1" x14ac:dyDescent="0.2">
      <c r="A15" s="13" t="s">
        <v>36</v>
      </c>
      <c r="B15" s="17">
        <f t="shared" ref="B15:H15" si="0">SUM(B2:B14)</f>
        <v>1085334</v>
      </c>
      <c r="C15" s="17">
        <f t="shared" si="0"/>
        <v>912666</v>
      </c>
      <c r="D15" s="17">
        <f t="shared" si="0"/>
        <v>148000</v>
      </c>
      <c r="E15" s="17">
        <f t="shared" si="0"/>
        <v>3700000</v>
      </c>
      <c r="F15" s="17">
        <f t="shared" si="0"/>
        <v>5846000</v>
      </c>
      <c r="G15" s="17">
        <f t="shared" si="0"/>
        <v>7590000</v>
      </c>
      <c r="H15" s="14">
        <f t="shared" si="0"/>
        <v>1632</v>
      </c>
    </row>
    <row r="17" spans="1:8" ht="45" customHeight="1" x14ac:dyDescent="0.2">
      <c r="A17" s="109" t="s">
        <v>256</v>
      </c>
      <c r="B17" s="109"/>
      <c r="C17" s="109"/>
      <c r="D17" s="109"/>
      <c r="E17" s="109"/>
      <c r="F17" s="109"/>
      <c r="G17" s="109"/>
      <c r="H17" s="109"/>
    </row>
  </sheetData>
  <mergeCells count="1">
    <mergeCell ref="A17:H17"/>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0"/>
  <sheetViews>
    <sheetView zoomScaleNormal="100" workbookViewId="0">
      <pane ySplit="1" topLeftCell="A2" activePane="bottomLeft" state="frozen"/>
      <selection pane="bottomLeft" activeCell="B5" sqref="B5"/>
    </sheetView>
  </sheetViews>
  <sheetFormatPr baseColWidth="10" defaultColWidth="8.6640625" defaultRowHeight="15" x14ac:dyDescent="0.2"/>
  <cols>
    <col min="1" max="1" width="30" customWidth="1"/>
    <col min="2" max="2" width="46" customWidth="1"/>
    <col min="3" max="3" width="52" customWidth="1"/>
  </cols>
  <sheetData>
    <row r="1" spans="1:3" ht="15" customHeight="1" x14ac:dyDescent="0.2">
      <c r="A1" s="2" t="s">
        <v>257</v>
      </c>
      <c r="B1" s="2" t="s">
        <v>258</v>
      </c>
      <c r="C1" s="2" t="s">
        <v>259</v>
      </c>
    </row>
    <row r="2" spans="1:3" ht="15" customHeight="1" x14ac:dyDescent="0.2">
      <c r="A2" s="3" t="s">
        <v>260</v>
      </c>
      <c r="B2" s="3" t="s">
        <v>261</v>
      </c>
      <c r="C2" s="3" t="s">
        <v>262</v>
      </c>
    </row>
    <row r="3" spans="1:3" ht="15" customHeight="1" x14ac:dyDescent="0.2">
      <c r="A3" s="8" t="s">
        <v>263</v>
      </c>
      <c r="B3" s="8" t="s">
        <v>264</v>
      </c>
      <c r="C3" s="8" t="s">
        <v>265</v>
      </c>
    </row>
    <row r="4" spans="1:3" ht="15" customHeight="1" x14ac:dyDescent="0.2">
      <c r="A4" s="3" t="s">
        <v>26</v>
      </c>
      <c r="B4" s="3" t="s">
        <v>266</v>
      </c>
      <c r="C4" s="3" t="s">
        <v>267</v>
      </c>
    </row>
    <row r="5" spans="1:3" ht="15" customHeight="1" x14ac:dyDescent="0.2">
      <c r="A5" s="8" t="s">
        <v>268</v>
      </c>
      <c r="B5" s="8" t="s">
        <v>269</v>
      </c>
      <c r="C5" s="8" t="s">
        <v>270</v>
      </c>
    </row>
    <row r="6" spans="1:3" ht="15" customHeight="1" x14ac:dyDescent="0.2">
      <c r="A6" s="3" t="s">
        <v>23</v>
      </c>
      <c r="B6" s="3" t="s">
        <v>271</v>
      </c>
      <c r="C6" s="3" t="s">
        <v>272</v>
      </c>
    </row>
    <row r="7" spans="1:3" ht="15" customHeight="1" x14ac:dyDescent="0.2">
      <c r="A7" s="8" t="s">
        <v>273</v>
      </c>
      <c r="B7" s="8" t="s">
        <v>274</v>
      </c>
      <c r="C7" s="8" t="s">
        <v>275</v>
      </c>
    </row>
    <row r="8" spans="1:3" ht="15" customHeight="1" x14ac:dyDescent="0.2">
      <c r="A8" s="3" t="s">
        <v>276</v>
      </c>
      <c r="B8" s="3" t="s">
        <v>277</v>
      </c>
      <c r="C8" s="3" t="s">
        <v>278</v>
      </c>
    </row>
    <row r="9" spans="1:3" ht="15" customHeight="1" x14ac:dyDescent="0.2">
      <c r="A9" s="8" t="s">
        <v>279</v>
      </c>
      <c r="B9" s="8" t="s">
        <v>280</v>
      </c>
      <c r="C9" s="8" t="s">
        <v>281</v>
      </c>
    </row>
    <row r="10" spans="1:3" ht="15" customHeight="1" x14ac:dyDescent="0.2">
      <c r="A10" s="3" t="s">
        <v>282</v>
      </c>
      <c r="B10" s="3" t="s">
        <v>283</v>
      </c>
      <c r="C10" s="3" t="s">
        <v>284</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24326-BBC1-1141-A108-C6EB39FB34FB}">
  <dimension ref="A1:L32"/>
  <sheetViews>
    <sheetView zoomScale="63" zoomScaleNormal="109" workbookViewId="0">
      <selection activeCell="E13" sqref="E13"/>
    </sheetView>
  </sheetViews>
  <sheetFormatPr baseColWidth="10" defaultRowHeight="15" x14ac:dyDescent="0.2"/>
  <cols>
    <col min="1" max="1" width="23.5" customWidth="1"/>
    <col min="2" max="2" width="15.6640625" customWidth="1"/>
    <col min="3" max="3" width="26.6640625" customWidth="1"/>
    <col min="4" max="4" width="16.6640625" customWidth="1"/>
    <col min="5" max="5" width="19" customWidth="1"/>
    <col min="6" max="6" width="13" customWidth="1"/>
    <col min="7" max="7" width="15" customWidth="1"/>
    <col min="8" max="8" width="16" customWidth="1"/>
    <col min="9" max="9" width="9" bestFit="1" customWidth="1"/>
    <col min="10" max="10" width="7.83203125" customWidth="1"/>
    <col min="11" max="11" width="7.6640625" customWidth="1"/>
    <col min="12" max="12" width="10.6640625" customWidth="1"/>
  </cols>
  <sheetData>
    <row r="1" spans="1:12" x14ac:dyDescent="0.2">
      <c r="A1" s="53" t="s">
        <v>286</v>
      </c>
      <c r="B1" s="54" t="s">
        <v>287</v>
      </c>
      <c r="C1" s="54" t="s">
        <v>299</v>
      </c>
      <c r="D1" s="54" t="s">
        <v>27</v>
      </c>
      <c r="E1" s="54" t="s">
        <v>28</v>
      </c>
      <c r="F1" s="54" t="s">
        <v>288</v>
      </c>
      <c r="G1" s="54" t="s">
        <v>289</v>
      </c>
      <c r="H1" s="54" t="s">
        <v>290</v>
      </c>
      <c r="I1" s="54" t="s">
        <v>291</v>
      </c>
      <c r="J1" s="54" t="s">
        <v>292</v>
      </c>
      <c r="K1" s="54" t="s">
        <v>293</v>
      </c>
      <c r="L1" s="55" t="s">
        <v>294</v>
      </c>
    </row>
    <row r="2" spans="1:12" x14ac:dyDescent="0.2">
      <c r="A2" s="66" t="s">
        <v>30</v>
      </c>
      <c r="B2" s="64">
        <f>'Channel Performance'!C2</f>
        <v>178540</v>
      </c>
      <c r="C2" s="65">
        <f>'Channel Performance'!J2</f>
        <v>0</v>
      </c>
      <c r="D2" s="64">
        <f>'Channel Performance'!H2</f>
        <v>750</v>
      </c>
      <c r="E2" s="65">
        <f>'Channel Performance'!I2</f>
        <v>3270900</v>
      </c>
      <c r="F2" s="69">
        <f>IFERROR(C2/$C$8, 0)</f>
        <v>0</v>
      </c>
      <c r="G2" s="69">
        <f>E2/$E$8</f>
        <v>0.38575118229099098</v>
      </c>
      <c r="H2" s="69">
        <f>D2/B2</f>
        <v>4.2007393301221017E-3</v>
      </c>
      <c r="I2" s="70">
        <f>E2/D2</f>
        <v>4361.2</v>
      </c>
      <c r="J2" s="71" t="str">
        <f>IF(C2=0, "-", C2/D2)</f>
        <v>-</v>
      </c>
      <c r="K2" s="71" t="str">
        <f>IF(C2=0, "-", E2/C2)</f>
        <v>-</v>
      </c>
      <c r="L2" s="72">
        <f>E2/B2</f>
        <v>18.320264366528509</v>
      </c>
    </row>
    <row r="3" spans="1:12" x14ac:dyDescent="0.2">
      <c r="A3" s="66" t="s">
        <v>31</v>
      </c>
      <c r="B3" s="64">
        <f>'Channel Performance'!C3</f>
        <v>63880</v>
      </c>
      <c r="C3" s="65">
        <f>'Channel Performance'!J3</f>
        <v>0</v>
      </c>
      <c r="D3" s="64">
        <f>'Channel Performance'!H3</f>
        <v>371</v>
      </c>
      <c r="E3" s="65">
        <f>'Channel Performance'!I3</f>
        <v>1704600</v>
      </c>
      <c r="F3" s="69">
        <f t="shared" ref="F3:F7" si="0">IFERROR(C3/$C$8, 0)</f>
        <v>0</v>
      </c>
      <c r="G3" s="69">
        <f t="shared" ref="G3:G7" si="1">E3/$E$8</f>
        <v>0.2010307454624792</v>
      </c>
      <c r="H3" s="69">
        <f t="shared" ref="H3:H7" si="2">D3/B3</f>
        <v>5.8077645585472761E-3</v>
      </c>
      <c r="I3" s="70">
        <f t="shared" ref="I3:I7" si="3">E3/D3</f>
        <v>4594.6091644204853</v>
      </c>
      <c r="J3" s="71" t="str">
        <f t="shared" ref="J3:J7" si="4">IF(C3=0, "-", C3/D3)</f>
        <v>-</v>
      </c>
      <c r="K3" s="71" t="str">
        <f t="shared" ref="K3:K7" si="5">IF(C3=0, "-", E3/C3)</f>
        <v>-</v>
      </c>
      <c r="L3" s="72">
        <f t="shared" ref="L3:L7" si="6">E3/B3</f>
        <v>26.684408265497808</v>
      </c>
    </row>
    <row r="4" spans="1:12" x14ac:dyDescent="0.2">
      <c r="A4" s="66" t="s">
        <v>32</v>
      </c>
      <c r="B4" s="64">
        <f>'Channel Performance'!C4</f>
        <v>13760</v>
      </c>
      <c r="C4" s="65">
        <f>'Channel Performance'!J4</f>
        <v>0</v>
      </c>
      <c r="D4" s="64">
        <f>'Channel Performance'!H4</f>
        <v>399</v>
      </c>
      <c r="E4" s="65">
        <f>'Channel Performance'!I4</f>
        <v>2318500</v>
      </c>
      <c r="F4" s="69">
        <f t="shared" si="0"/>
        <v>0</v>
      </c>
      <c r="G4" s="69">
        <f t="shared" si="1"/>
        <v>0.27343058978925144</v>
      </c>
      <c r="H4" s="69">
        <f t="shared" si="2"/>
        <v>2.8997093023255816E-2</v>
      </c>
      <c r="I4" s="70">
        <f t="shared" si="3"/>
        <v>5810.7769423558893</v>
      </c>
      <c r="J4" s="71" t="str">
        <f t="shared" si="4"/>
        <v>-</v>
      </c>
      <c r="K4" s="71" t="str">
        <f t="shared" si="5"/>
        <v>-</v>
      </c>
      <c r="L4" s="72">
        <f t="shared" si="6"/>
        <v>168.49563953488371</v>
      </c>
    </row>
    <row r="5" spans="1:12" x14ac:dyDescent="0.2">
      <c r="A5" s="66" t="s">
        <v>33</v>
      </c>
      <c r="B5" s="64">
        <f>'Channel Performance'!C5</f>
        <v>48330</v>
      </c>
      <c r="C5" s="65">
        <f>'Channel Performance'!J5</f>
        <v>3600000</v>
      </c>
      <c r="D5" s="64">
        <f>'Channel Performance'!H5</f>
        <v>150</v>
      </c>
      <c r="E5" s="65">
        <f>'Channel Performance'!I5</f>
        <v>612300</v>
      </c>
      <c r="F5" s="69">
        <f t="shared" si="0"/>
        <v>0.5</v>
      </c>
      <c r="G5" s="69">
        <f t="shared" si="1"/>
        <v>7.2211149505265762E-2</v>
      </c>
      <c r="H5" s="69">
        <f t="shared" si="2"/>
        <v>3.1036623215394167E-3</v>
      </c>
      <c r="I5" s="70">
        <f t="shared" si="3"/>
        <v>4082</v>
      </c>
      <c r="J5" s="73">
        <f t="shared" si="4"/>
        <v>24000</v>
      </c>
      <c r="K5" s="74">
        <f t="shared" si="5"/>
        <v>0.17008333333333334</v>
      </c>
      <c r="L5" s="72">
        <f t="shared" si="6"/>
        <v>12.669149596523898</v>
      </c>
    </row>
    <row r="6" spans="1:12" x14ac:dyDescent="0.2">
      <c r="A6" s="66" t="s">
        <v>34</v>
      </c>
      <c r="B6" s="64">
        <f>'Channel Performance'!C6</f>
        <v>58120</v>
      </c>
      <c r="C6" s="65">
        <f>'Channel Performance'!J6</f>
        <v>3000000</v>
      </c>
      <c r="D6" s="64">
        <f>'Channel Performance'!H6</f>
        <v>128</v>
      </c>
      <c r="E6" s="65">
        <f>'Channel Performance'!I6</f>
        <v>501800</v>
      </c>
      <c r="F6" s="69">
        <f t="shared" si="0"/>
        <v>0.41666666666666669</v>
      </c>
      <c r="G6" s="69">
        <f t="shared" si="1"/>
        <v>5.9179413394973644E-2</v>
      </c>
      <c r="H6" s="69">
        <f t="shared" si="2"/>
        <v>2.2023399862353753E-3</v>
      </c>
      <c r="I6" s="70">
        <f t="shared" si="3"/>
        <v>3920.3125</v>
      </c>
      <c r="J6" s="73">
        <f t="shared" si="4"/>
        <v>23437.5</v>
      </c>
      <c r="K6" s="74">
        <f t="shared" si="5"/>
        <v>0.16726666666666667</v>
      </c>
      <c r="L6" s="72">
        <f t="shared" si="6"/>
        <v>8.6338609772883697</v>
      </c>
    </row>
    <row r="7" spans="1:12" x14ac:dyDescent="0.2">
      <c r="A7" s="66" t="s">
        <v>35</v>
      </c>
      <c r="B7" s="64">
        <f>'Channel Performance'!C7</f>
        <v>1140</v>
      </c>
      <c r="C7" s="65">
        <f>'Channel Performance'!J7</f>
        <v>600000</v>
      </c>
      <c r="D7" s="64">
        <f>'Channel Performance'!H7</f>
        <v>13</v>
      </c>
      <c r="E7" s="65">
        <f>'Channel Performance'!I7</f>
        <v>71200</v>
      </c>
      <c r="F7" s="69">
        <f t="shared" si="0"/>
        <v>8.3333333333333329E-2</v>
      </c>
      <c r="G7" s="69">
        <f t="shared" si="1"/>
        <v>8.3969195570389073E-3</v>
      </c>
      <c r="H7" s="69">
        <f t="shared" si="2"/>
        <v>1.1403508771929825E-2</v>
      </c>
      <c r="I7" s="70">
        <f t="shared" si="3"/>
        <v>5476.9230769230771</v>
      </c>
      <c r="J7" s="73">
        <f t="shared" si="4"/>
        <v>46153.846153846156</v>
      </c>
      <c r="K7" s="74">
        <f t="shared" si="5"/>
        <v>0.11866666666666667</v>
      </c>
      <c r="L7" s="72">
        <f t="shared" si="6"/>
        <v>62.456140350877192</v>
      </c>
    </row>
    <row r="8" spans="1:12" x14ac:dyDescent="0.2">
      <c r="A8" s="67" t="s">
        <v>36</v>
      </c>
      <c r="B8" s="64">
        <f>'Channel Performance'!C8</f>
        <v>363770</v>
      </c>
      <c r="C8" s="65">
        <f>'Channel Performance'!J8</f>
        <v>7200000</v>
      </c>
      <c r="D8" s="64">
        <f>'Channel Performance'!H8</f>
        <v>1811</v>
      </c>
      <c r="E8" s="65">
        <f>'Channel Performance'!I8</f>
        <v>8479300</v>
      </c>
      <c r="F8" s="75">
        <f>SUM(F2:F7)</f>
        <v>1</v>
      </c>
      <c r="G8" s="75">
        <f>SUM(G2:G7)</f>
        <v>0.99999999999999989</v>
      </c>
      <c r="H8" s="75">
        <f>D8/B8</f>
        <v>4.978420430491794E-3</v>
      </c>
      <c r="I8" s="76">
        <f>E8/D8</f>
        <v>4682.10933186085</v>
      </c>
      <c r="J8" s="77">
        <f>C8/(D5+D6+D7)</f>
        <v>24742.268041237112</v>
      </c>
      <c r="K8" s="78"/>
      <c r="L8" s="79"/>
    </row>
    <row r="10" spans="1:12" ht="16" x14ac:dyDescent="0.2">
      <c r="A10" s="80" t="s">
        <v>295</v>
      </c>
      <c r="B10" s="81" t="s">
        <v>360</v>
      </c>
      <c r="C10" s="82"/>
      <c r="D10" s="82"/>
      <c r="E10" s="82"/>
    </row>
    <row r="11" spans="1:12" x14ac:dyDescent="0.2">
      <c r="A11" s="83" t="s">
        <v>296</v>
      </c>
      <c r="B11" s="84">
        <f>E8*B10</f>
        <v>2119825</v>
      </c>
      <c r="C11" s="82"/>
      <c r="D11" s="82"/>
      <c r="E11" s="82"/>
    </row>
    <row r="12" spans="1:12" ht="16" x14ac:dyDescent="0.2">
      <c r="A12" s="85" t="s">
        <v>297</v>
      </c>
      <c r="B12" s="84">
        <f>200000*36+100000*36</f>
        <v>10800000</v>
      </c>
      <c r="C12" s="82"/>
      <c r="D12" s="82"/>
      <c r="E12" s="82"/>
    </row>
    <row r="13" spans="1:12" ht="32" x14ac:dyDescent="0.2">
      <c r="A13" s="85" t="s">
        <v>385</v>
      </c>
      <c r="B13" s="86">
        <f>E8/B12</f>
        <v>0.78512037037037041</v>
      </c>
      <c r="C13" s="82"/>
      <c r="D13" s="82"/>
      <c r="E13" s="82"/>
    </row>
    <row r="14" spans="1:12" ht="16" x14ac:dyDescent="0.2">
      <c r="A14" s="85" t="s">
        <v>305</v>
      </c>
      <c r="B14" s="84">
        <f>B11-B12</f>
        <v>-8680175</v>
      </c>
      <c r="C14" s="82"/>
      <c r="D14" s="82"/>
      <c r="E14" s="82"/>
      <c r="H14" s="27"/>
    </row>
    <row r="15" spans="1:12" ht="32" x14ac:dyDescent="0.2">
      <c r="A15" s="85" t="s">
        <v>306</v>
      </c>
      <c r="B15" s="84">
        <f>B11/36</f>
        <v>58884.027777777781</v>
      </c>
      <c r="C15" s="82"/>
      <c r="D15" s="82"/>
      <c r="E15" s="82"/>
    </row>
    <row r="16" spans="1:12" ht="16" x14ac:dyDescent="0.2">
      <c r="A16" s="87" t="s">
        <v>307</v>
      </c>
      <c r="B16" s="88">
        <f>200000/B15</f>
        <v>3.396506787116861</v>
      </c>
      <c r="C16" s="82"/>
      <c r="D16" s="82"/>
      <c r="E16" s="82"/>
    </row>
    <row r="17" spans="1:5" x14ac:dyDescent="0.2">
      <c r="A17" s="82"/>
      <c r="B17" s="82"/>
      <c r="C17" s="82"/>
      <c r="D17" s="82"/>
      <c r="E17" s="82"/>
    </row>
    <row r="18" spans="1:5" ht="16" x14ac:dyDescent="0.2">
      <c r="A18" s="89" t="s">
        <v>38</v>
      </c>
      <c r="B18" s="90" t="s">
        <v>287</v>
      </c>
      <c r="C18" s="91" t="s">
        <v>298</v>
      </c>
      <c r="D18" s="82"/>
      <c r="E18" s="82"/>
    </row>
    <row r="19" spans="1:5" x14ac:dyDescent="0.2">
      <c r="A19" s="66" t="s">
        <v>46</v>
      </c>
      <c r="B19" s="64">
        <f>'Source Data'!D6</f>
        <v>11200</v>
      </c>
      <c r="C19" s="68">
        <f>'Source Data'!I6</f>
        <v>10</v>
      </c>
      <c r="D19" s="82"/>
      <c r="E19" s="82"/>
    </row>
    <row r="20" spans="1:5" x14ac:dyDescent="0.2">
      <c r="A20" s="66" t="s">
        <v>49</v>
      </c>
      <c r="B20" s="64">
        <f>'Source Data'!D9</f>
        <v>6900</v>
      </c>
      <c r="C20" s="108">
        <f>'Source Data'!I9</f>
        <v>9</v>
      </c>
      <c r="D20" s="82"/>
      <c r="E20" s="82"/>
    </row>
    <row r="21" spans="1:5" x14ac:dyDescent="0.2">
      <c r="A21" s="92" t="s">
        <v>300</v>
      </c>
      <c r="B21" s="93">
        <f>B19+B20</f>
        <v>18100</v>
      </c>
      <c r="C21" s="94">
        <f>C19+C20</f>
        <v>19</v>
      </c>
      <c r="D21" s="82"/>
      <c r="E21" s="82"/>
    </row>
    <row r="22" spans="1:5" x14ac:dyDescent="0.2">
      <c r="A22" s="82"/>
      <c r="B22" s="82"/>
      <c r="C22" s="82"/>
      <c r="D22" s="82"/>
      <c r="E22" s="82"/>
    </row>
    <row r="23" spans="1:5" x14ac:dyDescent="0.2">
      <c r="A23" s="95" t="s">
        <v>224</v>
      </c>
      <c r="B23" s="90" t="s">
        <v>301</v>
      </c>
      <c r="C23" s="90" t="s">
        <v>302</v>
      </c>
      <c r="D23" s="91" t="s">
        <v>303</v>
      </c>
      <c r="E23" s="82"/>
    </row>
    <row r="24" spans="1:5" x14ac:dyDescent="0.2">
      <c r="A24" s="66" t="s">
        <v>232</v>
      </c>
      <c r="B24" s="64">
        <f>'E-Commerce Behaviour Funnel'!B2</f>
        <v>268400</v>
      </c>
      <c r="C24" s="64">
        <f>'E-Commerce Behaviour Funnel'!H2</f>
        <v>50</v>
      </c>
      <c r="D24" s="96">
        <f>C24/B24</f>
        <v>1.8628912071535022E-4</v>
      </c>
      <c r="E24" s="82"/>
    </row>
    <row r="25" spans="1:5" x14ac:dyDescent="0.2">
      <c r="A25" s="66" t="s">
        <v>233</v>
      </c>
      <c r="B25" s="64">
        <f>'E-Commerce Behaviour Funnel'!B3</f>
        <v>95370</v>
      </c>
      <c r="C25" s="64">
        <f>'E-Commerce Behaviour Funnel'!H3</f>
        <v>141</v>
      </c>
      <c r="D25" s="96">
        <f>C25/B25</f>
        <v>1.4784523435042466E-3</v>
      </c>
      <c r="E25" s="82"/>
    </row>
    <row r="26" spans="1:5" x14ac:dyDescent="0.2">
      <c r="A26" s="92" t="s">
        <v>304</v>
      </c>
      <c r="B26" s="97"/>
      <c r="C26" s="97"/>
      <c r="D26" s="98">
        <f>D25/D24</f>
        <v>7.9363321799307958</v>
      </c>
      <c r="E26" s="82"/>
    </row>
    <row r="27" spans="1:5" x14ac:dyDescent="0.2">
      <c r="A27" s="82"/>
      <c r="B27" s="82"/>
      <c r="C27" s="82"/>
      <c r="D27" s="82"/>
      <c r="E27" s="82"/>
    </row>
    <row r="28" spans="1:5" x14ac:dyDescent="0.2">
      <c r="A28" s="99" t="s">
        <v>379</v>
      </c>
      <c r="B28" s="82"/>
      <c r="C28" s="82"/>
      <c r="D28" s="82"/>
      <c r="E28" s="82"/>
    </row>
    <row r="29" spans="1:5" x14ac:dyDescent="0.2">
      <c r="A29" s="95" t="s">
        <v>380</v>
      </c>
      <c r="B29" s="90" t="s">
        <v>382</v>
      </c>
      <c r="C29" s="90" t="s">
        <v>383</v>
      </c>
      <c r="D29" s="90" t="s">
        <v>381</v>
      </c>
      <c r="E29" s="91" t="s">
        <v>384</v>
      </c>
    </row>
    <row r="30" spans="1:5" x14ac:dyDescent="0.2">
      <c r="A30" s="100">
        <v>0.2</v>
      </c>
      <c r="B30" s="101">
        <f>$E$8*A30</f>
        <v>1695860</v>
      </c>
      <c r="C30" s="101">
        <f>B30/36</f>
        <v>47107.222222222219</v>
      </c>
      <c r="D30" s="102">
        <f>200000/C30</f>
        <v>4.2456334838960768</v>
      </c>
      <c r="E30" s="103">
        <f>B30-ANALYSIS!$B$12</f>
        <v>-9104140</v>
      </c>
    </row>
    <row r="31" spans="1:5" x14ac:dyDescent="0.2">
      <c r="A31" s="100">
        <v>0.25</v>
      </c>
      <c r="B31" s="101">
        <f t="shared" ref="B31:B32" si="7">$E$8*A31</f>
        <v>2119825</v>
      </c>
      <c r="C31" s="101">
        <f t="shared" ref="C31:C32" si="8">B31/36</f>
        <v>58884.027777777781</v>
      </c>
      <c r="D31" s="102">
        <f t="shared" ref="D31:D32" si="9">200000/C31</f>
        <v>3.396506787116861</v>
      </c>
      <c r="E31" s="103">
        <f>B31-ANALYSIS!$B$12</f>
        <v>-8680175</v>
      </c>
    </row>
    <row r="32" spans="1:5" x14ac:dyDescent="0.2">
      <c r="A32" s="104">
        <v>0.3</v>
      </c>
      <c r="B32" s="105">
        <f t="shared" si="7"/>
        <v>2543790</v>
      </c>
      <c r="C32" s="105">
        <f t="shared" si="8"/>
        <v>70660.833333333328</v>
      </c>
      <c r="D32" s="106">
        <f t="shared" si="9"/>
        <v>2.8304223225973844</v>
      </c>
      <c r="E32" s="107">
        <f>B32-ANALYSIS!$B$12</f>
        <v>-8256210</v>
      </c>
    </row>
  </sheetData>
  <pageMargins left="0.7" right="0.7" top="0.75" bottom="0.75" header="0.3" footer="0.3"/>
  <drawing r:id="rId1"/>
  <tableParts count="5">
    <tablePart r:id="rId2"/>
    <tablePart r:id="rId3"/>
    <tablePart r:id="rId4"/>
    <tablePart r:id="rId5"/>
    <tablePart r:id="rId6"/>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2B45-6175-9841-B22C-E8094CC610B5}">
  <dimension ref="A1:C15"/>
  <sheetViews>
    <sheetView workbookViewId="0">
      <selection activeCell="C23" sqref="C23"/>
    </sheetView>
  </sheetViews>
  <sheetFormatPr baseColWidth="10" defaultRowHeight="15" x14ac:dyDescent="0.2"/>
  <cols>
    <col min="1" max="1" width="15.6640625" customWidth="1"/>
    <col min="2" max="2" width="14.5" customWidth="1"/>
    <col min="3" max="3" width="20.1640625" customWidth="1"/>
  </cols>
  <sheetData>
    <row r="1" spans="1:3" ht="16" x14ac:dyDescent="0.2">
      <c r="A1" s="2" t="s">
        <v>235</v>
      </c>
      <c r="B1" s="2" t="s">
        <v>240</v>
      </c>
      <c r="C1" s="2" t="s">
        <v>241</v>
      </c>
    </row>
    <row r="2" spans="1:3" x14ac:dyDescent="0.2">
      <c r="A2" s="3" t="s">
        <v>243</v>
      </c>
      <c r="B2" s="7">
        <f>'Quarterly Spend &amp; Revenue'!F2</f>
        <v>316000</v>
      </c>
      <c r="C2" s="7">
        <f>'Quarterly Spend &amp; Revenue'!G2</f>
        <v>140000</v>
      </c>
    </row>
    <row r="3" spans="1:3" x14ac:dyDescent="0.2">
      <c r="A3" s="8" t="s">
        <v>244</v>
      </c>
      <c r="B3" s="7">
        <f>'Quarterly Spend &amp; Revenue'!F3</f>
        <v>474000</v>
      </c>
      <c r="C3" s="7">
        <f>'Quarterly Spend &amp; Revenue'!G3</f>
        <v>480000</v>
      </c>
    </row>
    <row r="4" spans="1:3" x14ac:dyDescent="0.2">
      <c r="A4" s="3" t="s">
        <v>245</v>
      </c>
      <c r="B4" s="7">
        <f>'Quarterly Spend &amp; Revenue'!F4</f>
        <v>474000</v>
      </c>
      <c r="C4" s="7">
        <f>'Quarterly Spend &amp; Revenue'!G4</f>
        <v>560000</v>
      </c>
    </row>
    <row r="5" spans="1:3" x14ac:dyDescent="0.2">
      <c r="A5" s="8" t="s">
        <v>246</v>
      </c>
      <c r="B5" s="7">
        <f>'Quarterly Spend &amp; Revenue'!F5</f>
        <v>474000</v>
      </c>
      <c r="C5" s="7">
        <f>'Quarterly Spend &amp; Revenue'!G5</f>
        <v>610000</v>
      </c>
    </row>
    <row r="6" spans="1:3" x14ac:dyDescent="0.2">
      <c r="A6" s="3" t="s">
        <v>247</v>
      </c>
      <c r="B6" s="7">
        <f>'Quarterly Spend &amp; Revenue'!F6</f>
        <v>474000</v>
      </c>
      <c r="C6" s="7">
        <f>'Quarterly Spend &amp; Revenue'!G6</f>
        <v>650000</v>
      </c>
    </row>
    <row r="7" spans="1:3" x14ac:dyDescent="0.2">
      <c r="A7" s="8" t="s">
        <v>248</v>
      </c>
      <c r="B7" s="7">
        <f>'Quarterly Spend &amp; Revenue'!F7</f>
        <v>474000</v>
      </c>
      <c r="C7" s="7">
        <f>'Quarterly Spend &amp; Revenue'!G7</f>
        <v>700000</v>
      </c>
    </row>
    <row r="8" spans="1:3" x14ac:dyDescent="0.2">
      <c r="A8" s="3" t="s">
        <v>249</v>
      </c>
      <c r="B8" s="7">
        <f>'Quarterly Spend &amp; Revenue'!F8</f>
        <v>474000</v>
      </c>
      <c r="C8" s="7">
        <f>'Quarterly Spend &amp; Revenue'!G8</f>
        <v>760000</v>
      </c>
    </row>
    <row r="9" spans="1:3" x14ac:dyDescent="0.2">
      <c r="A9" s="8" t="s">
        <v>250</v>
      </c>
      <c r="B9" s="7">
        <f>'Quarterly Spend &amp; Revenue'!F9</f>
        <v>474000</v>
      </c>
      <c r="C9" s="7">
        <f>'Quarterly Spend &amp; Revenue'!G9</f>
        <v>790000</v>
      </c>
    </row>
    <row r="10" spans="1:3" x14ac:dyDescent="0.2">
      <c r="A10" s="3" t="s">
        <v>251</v>
      </c>
      <c r="B10" s="7">
        <f>'Quarterly Spend &amp; Revenue'!F10</f>
        <v>474000</v>
      </c>
      <c r="C10" s="7">
        <f>'Quarterly Spend &amp; Revenue'!G10</f>
        <v>740000</v>
      </c>
    </row>
    <row r="11" spans="1:3" x14ac:dyDescent="0.2">
      <c r="A11" s="8" t="s">
        <v>252</v>
      </c>
      <c r="B11" s="7">
        <f>'Quarterly Spend &amp; Revenue'!F11</f>
        <v>474000</v>
      </c>
      <c r="C11" s="7">
        <f>'Quarterly Spend &amp; Revenue'!G11</f>
        <v>690000</v>
      </c>
    </row>
    <row r="12" spans="1:3" x14ac:dyDescent="0.2">
      <c r="A12" s="3" t="s">
        <v>253</v>
      </c>
      <c r="B12" s="7">
        <f>'Quarterly Spend &amp; Revenue'!F12</f>
        <v>474000</v>
      </c>
      <c r="C12" s="7">
        <f>'Quarterly Spend &amp; Revenue'!G12</f>
        <v>610000</v>
      </c>
    </row>
    <row r="13" spans="1:3" x14ac:dyDescent="0.2">
      <c r="A13" s="8" t="s">
        <v>254</v>
      </c>
      <c r="B13" s="7">
        <f>'Quarterly Spend &amp; Revenue'!F13</f>
        <v>474000</v>
      </c>
      <c r="C13" s="7">
        <f>'Quarterly Spend &amp; Revenue'!G13</f>
        <v>540000</v>
      </c>
    </row>
    <row r="14" spans="1:3" x14ac:dyDescent="0.2">
      <c r="A14" s="3" t="s">
        <v>255</v>
      </c>
      <c r="B14" s="7">
        <f>'Quarterly Spend &amp; Revenue'!F14</f>
        <v>316000</v>
      </c>
      <c r="C14" s="7">
        <f>'Quarterly Spend &amp; Revenue'!G14</f>
        <v>320000</v>
      </c>
    </row>
    <row r="15" spans="1:3" x14ac:dyDescent="0.2">
      <c r="A15" s="13" t="s">
        <v>36</v>
      </c>
      <c r="B15" s="17">
        <f t="shared" ref="B15" si="0">SUM(B2:B14)</f>
        <v>5846000</v>
      </c>
      <c r="C15" s="17">
        <f>SUM(C2:C14)</f>
        <v>7590000</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378B-79DD-1547-9309-E7DC00F47080}">
  <dimension ref="A1:D12"/>
  <sheetViews>
    <sheetView workbookViewId="0">
      <selection activeCell="K26" sqref="K26"/>
    </sheetView>
  </sheetViews>
  <sheetFormatPr baseColWidth="10" defaultRowHeight="15" x14ac:dyDescent="0.2"/>
  <cols>
    <col min="1" max="1" width="24.1640625" customWidth="1"/>
    <col min="2" max="2" width="13" customWidth="1"/>
    <col min="3" max="3" width="19" customWidth="1"/>
    <col min="4" max="4" width="24.1640625" customWidth="1"/>
  </cols>
  <sheetData>
    <row r="1" spans="1:4" x14ac:dyDescent="0.2">
      <c r="A1" s="53" t="s">
        <v>363</v>
      </c>
      <c r="B1" s="54" t="s">
        <v>27</v>
      </c>
      <c r="C1" s="54" t="s">
        <v>28</v>
      </c>
      <c r="D1" s="55" t="s">
        <v>364</v>
      </c>
    </row>
    <row r="2" spans="1:4" x14ac:dyDescent="0.2">
      <c r="A2" s="26" t="s">
        <v>365</v>
      </c>
      <c r="B2" s="59">
        <f>SUM('Channel Performance'!H2:H7)</f>
        <v>1811</v>
      </c>
      <c r="C2" s="60">
        <f>SUM('Channel Performance'!I2:I7)</f>
        <v>8479300</v>
      </c>
      <c r="D2" s="61">
        <f>SUM('Channel Performance'!J2:J7)</f>
        <v>7200000</v>
      </c>
    </row>
    <row r="3" spans="1:4" x14ac:dyDescent="0.2">
      <c r="A3" s="26" t="s">
        <v>366</v>
      </c>
      <c r="B3" s="59">
        <f>SUM('Source Data'!I2:I21)</f>
        <v>1435</v>
      </c>
      <c r="C3" s="60">
        <f>SUM('Source Data'!J2:J21)</f>
        <v>6478700</v>
      </c>
      <c r="D3" s="61" t="s">
        <v>378</v>
      </c>
    </row>
    <row r="4" spans="1:4" x14ac:dyDescent="0.2">
      <c r="A4" s="26" t="s">
        <v>367</v>
      </c>
      <c r="B4" s="59">
        <f>SUM('Quarterly Spend &amp; Revenue'!H2:H14)</f>
        <v>1632</v>
      </c>
      <c r="C4" s="60">
        <f>SUM('Quarterly Spend &amp; Revenue'!G2:G14)</f>
        <v>7590000</v>
      </c>
      <c r="D4" s="61">
        <f>SUM('Quarterly Spend &amp; Revenue'!B2:D14)</f>
        <v>2146000</v>
      </c>
    </row>
    <row r="5" spans="1:4" x14ac:dyDescent="0.2">
      <c r="A5" s="26" t="s">
        <v>368</v>
      </c>
      <c r="B5" s="59">
        <f>SUM('Customer Demographics'!H2:H7)</f>
        <v>1449</v>
      </c>
      <c r="C5" s="60">
        <f>SUM('Customer Demographics'!I2:I7)</f>
        <v>6879200</v>
      </c>
      <c r="D5" s="62" t="s">
        <v>378</v>
      </c>
    </row>
    <row r="6" spans="1:4" x14ac:dyDescent="0.2">
      <c r="A6" s="26" t="s">
        <v>369</v>
      </c>
      <c r="B6" s="59" t="s">
        <v>378</v>
      </c>
      <c r="C6" s="60">
        <f>SUM('City Performance'!I2:I41)</f>
        <v>6629973.0099999988</v>
      </c>
      <c r="D6" s="62" t="s">
        <v>378</v>
      </c>
    </row>
    <row r="7" spans="1:4" x14ac:dyDescent="0.2">
      <c r="A7" s="26" t="s">
        <v>370</v>
      </c>
      <c r="B7" s="59">
        <f>SUM('Regional Analysis'!H2:H10)</f>
        <v>1128</v>
      </c>
      <c r="C7" s="60">
        <f>SUM('Regional Analysis'!I2:I10)</f>
        <v>5686600</v>
      </c>
      <c r="D7" s="62" t="s">
        <v>378</v>
      </c>
    </row>
    <row r="8" spans="1:4" x14ac:dyDescent="0.2">
      <c r="A8" s="26" t="s">
        <v>371</v>
      </c>
      <c r="B8" s="63" t="s">
        <v>378</v>
      </c>
      <c r="C8" s="60">
        <f>SUM('Product Performance'!D2:D62)</f>
        <v>3183211.3299999996</v>
      </c>
      <c r="D8" s="62" t="s">
        <v>378</v>
      </c>
    </row>
    <row r="9" spans="1:4" x14ac:dyDescent="0.2">
      <c r="A9" s="26" t="s">
        <v>372</v>
      </c>
      <c r="B9" s="59">
        <f>SUM('E-Commerce Behaviour Funnel'!H2:H3)</f>
        <v>191</v>
      </c>
      <c r="C9" s="63" t="s">
        <v>378</v>
      </c>
      <c r="D9" s="62" t="s">
        <v>378</v>
      </c>
    </row>
    <row r="10" spans="1:4" x14ac:dyDescent="0.2">
      <c r="A10" s="56" t="s">
        <v>373</v>
      </c>
      <c r="B10" s="57" t="s">
        <v>374</v>
      </c>
      <c r="C10" s="57" t="s">
        <v>376</v>
      </c>
      <c r="D10" s="58" t="s">
        <v>375</v>
      </c>
    </row>
    <row r="12" spans="1:4" x14ac:dyDescent="0.2">
      <c r="A12" s="29" t="s">
        <v>377</v>
      </c>
    </row>
  </sheetData>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F9ECF-22F8-F441-9BA1-351CC5BB7B1A}">
  <dimension ref="A1:G25"/>
  <sheetViews>
    <sheetView tabSelected="1" zoomScale="75" workbookViewId="0">
      <selection activeCell="T20" sqref="T20"/>
    </sheetView>
  </sheetViews>
  <sheetFormatPr baseColWidth="10" defaultRowHeight="15" x14ac:dyDescent="0.2"/>
  <cols>
    <col min="1" max="1" width="15.5" customWidth="1"/>
    <col min="2" max="2" width="53.5" customWidth="1"/>
    <col min="3" max="3" width="12.83203125" style="28" customWidth="1"/>
    <col min="4" max="5" width="10.83203125" style="28"/>
    <col min="6" max="6" width="13.83203125" style="28" customWidth="1"/>
    <col min="7" max="7" width="10.83203125" style="28"/>
  </cols>
  <sheetData>
    <row r="1" spans="1:7" x14ac:dyDescent="0.2">
      <c r="A1" s="30" t="s">
        <v>257</v>
      </c>
      <c r="B1" s="31" t="s">
        <v>308</v>
      </c>
      <c r="C1" s="31" t="s">
        <v>309</v>
      </c>
      <c r="D1" s="31" t="s">
        <v>310</v>
      </c>
      <c r="E1" s="31" t="s">
        <v>311</v>
      </c>
      <c r="F1" s="31" t="s">
        <v>312</v>
      </c>
      <c r="G1" s="32" t="s">
        <v>313</v>
      </c>
    </row>
    <row r="2" spans="1:7" x14ac:dyDescent="0.2">
      <c r="A2" s="33" t="s">
        <v>314</v>
      </c>
      <c r="B2" s="34"/>
      <c r="C2" s="35"/>
      <c r="D2" s="35"/>
      <c r="E2" s="35"/>
      <c r="F2" s="35"/>
      <c r="G2" s="36"/>
    </row>
    <row r="3" spans="1:7" ht="32" x14ac:dyDescent="0.2">
      <c r="A3" s="37" t="s">
        <v>315</v>
      </c>
      <c r="B3" s="38" t="s">
        <v>342</v>
      </c>
      <c r="C3" s="39">
        <f>ANALYSIS!B14</f>
        <v>-8680175</v>
      </c>
      <c r="D3" s="39">
        <v>0</v>
      </c>
      <c r="E3" s="35" t="s">
        <v>326</v>
      </c>
      <c r="F3" s="35" t="str">
        <f>IF(NOT(ISNUMBER(C3)),"Not yet tracked",IF(TRIM(E3)="High",IF(C3&gt;=D3,"On target","OFF TARGET"),IF(C3&lt;=D3,"On target","OFF TARGET")))</f>
        <v>OFF TARGET</v>
      </c>
      <c r="G3" s="36" t="s">
        <v>316</v>
      </c>
    </row>
    <row r="4" spans="1:7" ht="32" x14ac:dyDescent="0.2">
      <c r="A4" s="37" t="s">
        <v>317</v>
      </c>
      <c r="B4" s="38" t="s">
        <v>343</v>
      </c>
      <c r="C4" s="40">
        <f>ANALYSIS!B13</f>
        <v>0.78512037037037041</v>
      </c>
      <c r="D4" s="35">
        <v>4</v>
      </c>
      <c r="E4" s="35" t="s">
        <v>326</v>
      </c>
      <c r="F4" s="35" t="str">
        <f t="shared" ref="F4:F23" si="0">IF(NOT(ISNUMBER(C4)),"Not yet tracked",IF(TRIM(E4)="High",IF(C4&gt;=D4,"On target","OFF TARGET"),IF(C4&lt;=D4,"On target","OFF TARGET")))</f>
        <v>OFF TARGET</v>
      </c>
      <c r="G4" s="36" t="s">
        <v>316</v>
      </c>
    </row>
    <row r="5" spans="1:7" ht="32" x14ac:dyDescent="0.2">
      <c r="A5" s="37" t="s">
        <v>318</v>
      </c>
      <c r="B5" s="38" t="s">
        <v>344</v>
      </c>
      <c r="C5" s="41">
        <f>(ANALYSIS!E5+ANALYSIS!E6+ANALYSIS!E7)/ANALYSIS!C8</f>
        <v>0.16462499999999999</v>
      </c>
      <c r="D5" s="35">
        <v>4</v>
      </c>
      <c r="E5" s="35" t="s">
        <v>326</v>
      </c>
      <c r="F5" s="35" t="str">
        <f t="shared" si="0"/>
        <v>OFF TARGET</v>
      </c>
      <c r="G5" s="36" t="s">
        <v>316</v>
      </c>
    </row>
    <row r="6" spans="1:7" ht="32" x14ac:dyDescent="0.2">
      <c r="A6" s="42" t="s">
        <v>319</v>
      </c>
      <c r="B6" s="38" t="s">
        <v>345</v>
      </c>
      <c r="C6" s="41">
        <f>ANALYSIS!J8/ANALYSIS!I8</f>
        <v>5.2844276559008891</v>
      </c>
      <c r="D6" s="35">
        <v>0.3</v>
      </c>
      <c r="E6" s="35" t="s">
        <v>340</v>
      </c>
      <c r="F6" s="35" t="str">
        <f t="shared" si="0"/>
        <v>OFF TARGET</v>
      </c>
      <c r="G6" s="36" t="s">
        <v>316</v>
      </c>
    </row>
    <row r="7" spans="1:7" ht="32" x14ac:dyDescent="0.2">
      <c r="A7" s="37" t="s">
        <v>320</v>
      </c>
      <c r="B7" s="38" t="s">
        <v>346</v>
      </c>
      <c r="C7" s="41">
        <f>200000/ANALYSIS!B15</f>
        <v>3.396506787116861</v>
      </c>
      <c r="D7" s="35">
        <v>1</v>
      </c>
      <c r="E7" s="35" t="s">
        <v>340</v>
      </c>
      <c r="F7" s="35" t="str">
        <f t="shared" si="0"/>
        <v>OFF TARGET</v>
      </c>
      <c r="G7" s="36" t="s">
        <v>316</v>
      </c>
    </row>
    <row r="8" spans="1:7" x14ac:dyDescent="0.2">
      <c r="A8" s="33" t="s">
        <v>321</v>
      </c>
      <c r="B8" s="34"/>
      <c r="C8" s="35"/>
      <c r="D8" s="35"/>
      <c r="E8" s="35"/>
      <c r="F8" s="35"/>
      <c r="G8" s="36"/>
    </row>
    <row r="9" spans="1:7" ht="32" x14ac:dyDescent="0.2">
      <c r="A9" s="37" t="s">
        <v>322</v>
      </c>
      <c r="B9" s="38" t="s">
        <v>347</v>
      </c>
      <c r="C9" s="43">
        <f>ANALYSIS!G4</f>
        <v>0.27343058978925144</v>
      </c>
      <c r="D9" s="44">
        <v>0.4</v>
      </c>
      <c r="E9" s="35" t="s">
        <v>326</v>
      </c>
      <c r="F9" s="35" t="str">
        <f t="shared" si="0"/>
        <v>OFF TARGET</v>
      </c>
      <c r="G9" s="36" t="s">
        <v>316</v>
      </c>
    </row>
    <row r="10" spans="1:7" ht="32" x14ac:dyDescent="0.2">
      <c r="A10" s="37" t="s">
        <v>323</v>
      </c>
      <c r="B10" s="38" t="s">
        <v>348</v>
      </c>
      <c r="C10" s="40">
        <f>ANALYSIS!G5/ANALYSIS!F5</f>
        <v>0.14442229901053152</v>
      </c>
      <c r="D10" s="35">
        <v>1</v>
      </c>
      <c r="E10" s="35" t="s">
        <v>326</v>
      </c>
      <c r="F10" s="35" t="str">
        <f t="shared" si="0"/>
        <v>OFF TARGET</v>
      </c>
      <c r="G10" s="36" t="s">
        <v>316</v>
      </c>
    </row>
    <row r="11" spans="1:7" ht="48" x14ac:dyDescent="0.2">
      <c r="A11" s="37" t="s">
        <v>324</v>
      </c>
      <c r="B11" s="38" t="s">
        <v>349</v>
      </c>
      <c r="C11" s="45">
        <f>ANALYSIS!L5</f>
        <v>12.669149596523898</v>
      </c>
      <c r="D11" s="39">
        <v>50</v>
      </c>
      <c r="E11" s="35" t="s">
        <v>326</v>
      </c>
      <c r="F11" s="35" t="str">
        <f t="shared" si="0"/>
        <v>OFF TARGET</v>
      </c>
      <c r="G11" s="36" t="s">
        <v>316</v>
      </c>
    </row>
    <row r="12" spans="1:7" ht="48" x14ac:dyDescent="0.2">
      <c r="A12" s="37" t="s">
        <v>325</v>
      </c>
      <c r="B12" s="38" t="s">
        <v>350</v>
      </c>
      <c r="C12" s="46" t="s">
        <v>327</v>
      </c>
      <c r="D12" s="35">
        <v>60000</v>
      </c>
      <c r="E12" s="35" t="s">
        <v>326</v>
      </c>
      <c r="F12" s="35" t="str">
        <f t="shared" si="0"/>
        <v>Not yet tracked</v>
      </c>
      <c r="G12" s="36" t="s">
        <v>316</v>
      </c>
    </row>
    <row r="13" spans="1:7" x14ac:dyDescent="0.2">
      <c r="A13" s="33" t="s">
        <v>328</v>
      </c>
      <c r="B13" s="34"/>
      <c r="C13" s="35"/>
      <c r="D13" s="35"/>
      <c r="E13" s="35"/>
      <c r="F13" s="35"/>
      <c r="G13" s="36"/>
    </row>
    <row r="14" spans="1:7" ht="32" x14ac:dyDescent="0.2">
      <c r="A14" s="37" t="s">
        <v>329</v>
      </c>
      <c r="B14" s="38" t="s">
        <v>351</v>
      </c>
      <c r="C14" s="47">
        <f>ANALYSIS!C25/(ANALYSIS!C24+ANALYSIS!C25)</f>
        <v>0.73821989528795806</v>
      </c>
      <c r="D14" s="47">
        <v>0.8</v>
      </c>
      <c r="E14" s="35" t="s">
        <v>326</v>
      </c>
      <c r="F14" s="35" t="str">
        <f t="shared" si="0"/>
        <v>OFF TARGET</v>
      </c>
      <c r="G14" s="36" t="s">
        <v>333</v>
      </c>
    </row>
    <row r="15" spans="1:7" ht="48" x14ac:dyDescent="0.2">
      <c r="A15" s="37" t="s">
        <v>330</v>
      </c>
      <c r="B15" s="38" t="s">
        <v>352</v>
      </c>
      <c r="C15" s="41">
        <f>ANALYSIS!D26</f>
        <v>7.9363321799307958</v>
      </c>
      <c r="D15" s="35">
        <v>5</v>
      </c>
      <c r="E15" s="35" t="s">
        <v>326</v>
      </c>
      <c r="F15" s="35" t="str">
        <f t="shared" si="0"/>
        <v>On target</v>
      </c>
      <c r="G15" s="36" t="s">
        <v>333</v>
      </c>
    </row>
    <row r="16" spans="1:7" ht="32" x14ac:dyDescent="0.2">
      <c r="A16" s="37" t="s">
        <v>331</v>
      </c>
      <c r="B16" s="38" t="s">
        <v>353</v>
      </c>
      <c r="C16" s="43">
        <f>ANALYSIS!H8</f>
        <v>4.978420430491794E-3</v>
      </c>
      <c r="D16" s="44">
        <v>0.01</v>
      </c>
      <c r="E16" s="35" t="s">
        <v>326</v>
      </c>
      <c r="F16" s="35" t="str">
        <f t="shared" si="0"/>
        <v>OFF TARGET</v>
      </c>
      <c r="G16" s="36" t="s">
        <v>333</v>
      </c>
    </row>
    <row r="17" spans="1:7" ht="32" x14ac:dyDescent="0.2">
      <c r="A17" s="37" t="s">
        <v>332</v>
      </c>
      <c r="B17" s="38" t="s">
        <v>354</v>
      </c>
      <c r="C17" s="46" t="s">
        <v>334</v>
      </c>
      <c r="D17" s="35">
        <v>2000</v>
      </c>
      <c r="E17" s="35" t="s">
        <v>326</v>
      </c>
      <c r="F17" s="35" t="str">
        <f t="shared" si="0"/>
        <v>Not yet tracked</v>
      </c>
      <c r="G17" s="36" t="s">
        <v>333</v>
      </c>
    </row>
    <row r="18" spans="1:7" x14ac:dyDescent="0.2">
      <c r="A18" s="33" t="s">
        <v>335</v>
      </c>
      <c r="B18" s="34"/>
      <c r="C18" s="35"/>
      <c r="D18" s="35"/>
      <c r="E18" s="35"/>
      <c r="F18" s="35"/>
      <c r="G18" s="36"/>
    </row>
    <row r="19" spans="1:7" ht="32" x14ac:dyDescent="0.2">
      <c r="A19" s="37" t="s">
        <v>336</v>
      </c>
      <c r="B19" s="38" t="s">
        <v>355</v>
      </c>
      <c r="C19" s="47">
        <f>(RECONCILIATION!C2-RECONCILIATION!C4)/RECONCILIATION!C2</f>
        <v>0.10487894047857724</v>
      </c>
      <c r="D19" s="47">
        <v>0.02</v>
      </c>
      <c r="E19" s="35" t="s">
        <v>340</v>
      </c>
      <c r="F19" s="35" t="str">
        <f t="shared" si="0"/>
        <v>OFF TARGET</v>
      </c>
      <c r="G19" s="36" t="s">
        <v>316</v>
      </c>
    </row>
    <row r="20" spans="1:7" ht="32" x14ac:dyDescent="0.2">
      <c r="A20" s="37" t="s">
        <v>337</v>
      </c>
      <c r="B20" s="38" t="s">
        <v>356</v>
      </c>
      <c r="C20" s="47">
        <f>('Channel Performance'!C8-'Source Data'!D22)/'Channel Performance'!C8</f>
        <v>6.6690491244467659E-2</v>
      </c>
      <c r="D20" s="47">
        <v>0.02</v>
      </c>
      <c r="E20" s="35" t="s">
        <v>340</v>
      </c>
      <c r="F20" s="35" t="str">
        <f t="shared" si="0"/>
        <v>OFF TARGET</v>
      </c>
      <c r="G20" s="36" t="s">
        <v>316</v>
      </c>
    </row>
    <row r="21" spans="1:7" ht="32" x14ac:dyDescent="0.2">
      <c r="A21" s="37" t="s">
        <v>361</v>
      </c>
      <c r="B21" s="38" t="s">
        <v>362</v>
      </c>
      <c r="C21" s="47">
        <f>(RECONCILIATION!C2-RECONCILIATION!C3)/RECONCILIATION!C2</f>
        <v>0.23593928744118028</v>
      </c>
      <c r="D21" s="47">
        <v>0.02</v>
      </c>
      <c r="E21" s="35" t="s">
        <v>340</v>
      </c>
      <c r="F21" s="35" t="str">
        <f>IF(NOT(ISNUMBER(C21)),"Not yet tracked",IF(TRIM(E21)="High",IF(C21&gt;=D21,"On target","OFF TARGET"),IF(C21&lt;=D21,"On target","OFF TARGET")))</f>
        <v>OFF TARGET</v>
      </c>
      <c r="G21" s="36" t="s">
        <v>316</v>
      </c>
    </row>
    <row r="22" spans="1:7" ht="34" customHeight="1" x14ac:dyDescent="0.2">
      <c r="A22" s="37" t="s">
        <v>338</v>
      </c>
      <c r="B22" s="38" t="s">
        <v>357</v>
      </c>
      <c r="C22" s="46" t="s">
        <v>341</v>
      </c>
      <c r="D22" s="35">
        <v>1</v>
      </c>
      <c r="E22" s="35" t="s">
        <v>326</v>
      </c>
      <c r="F22" s="35" t="str">
        <f t="shared" si="0"/>
        <v>Not yet tracked</v>
      </c>
      <c r="G22" s="36" t="s">
        <v>316</v>
      </c>
    </row>
    <row r="23" spans="1:7" ht="32" x14ac:dyDescent="0.2">
      <c r="A23" s="48" t="s">
        <v>339</v>
      </c>
      <c r="B23" s="49" t="s">
        <v>358</v>
      </c>
      <c r="C23" s="50" t="s">
        <v>341</v>
      </c>
      <c r="D23" s="51">
        <v>5</v>
      </c>
      <c r="E23" s="51" t="s">
        <v>340</v>
      </c>
      <c r="F23" s="51" t="str">
        <f t="shared" si="0"/>
        <v>Not yet tracked</v>
      </c>
      <c r="G23" s="52" t="s">
        <v>316</v>
      </c>
    </row>
    <row r="25" spans="1:7" x14ac:dyDescent="0.2">
      <c r="A25" s="29" t="s">
        <v>359</v>
      </c>
    </row>
  </sheetData>
  <conditionalFormatting sqref="F3:F23">
    <cfRule type="containsText" dxfId="0" priority="1" operator="containsText" text="OFF TARGET">
      <formula>NOT(ISERROR(SEARCH("OFF TARGET",F3)))</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Read Me First</vt:lpstr>
      <vt:lpstr>Channel Performance</vt:lpstr>
      <vt:lpstr>Source Data</vt:lpstr>
      <vt:lpstr>Top Assisted Conversion Paths</vt:lpstr>
      <vt:lpstr>Customer Demographics</vt:lpstr>
      <vt:lpstr>Regional Analysis</vt:lpstr>
      <vt:lpstr>City Performance</vt:lpstr>
      <vt:lpstr>Product Performance</vt:lpstr>
      <vt:lpstr>E-Commerce Behaviour Funnel</vt:lpstr>
      <vt:lpstr>Quarterly Spend &amp; Revenue</vt:lpstr>
      <vt:lpstr>KPI Reference Sheet</vt:lpstr>
      <vt:lpstr>ANALYSIS</vt:lpstr>
      <vt:lpstr>QUARTERLY CHART</vt:lpstr>
      <vt:lpstr>RECONCILIATION</vt:lpstr>
      <vt:lpstr>KPI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Viola Romoli</cp:lastModifiedBy>
  <cp:revision>0</cp:revision>
  <dcterms:created xsi:type="dcterms:W3CDTF">2026-07-27T12:08:31Z</dcterms:created>
  <dcterms:modified xsi:type="dcterms:W3CDTF">2026-10-14T12:05:01Z</dcterms:modified>
  <dc:language>en-US</dc:language>
</cp:coreProperties>
</file>